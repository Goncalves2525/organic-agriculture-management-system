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caro\PI3\lapr3-2023-2024-group322_main\deliverables\"/>
    </mc:Choice>
  </mc:AlternateContent>
  <xr:revisionPtr revIDLastSave="0" documentId="13_ncr:1_{FAEC6079-5474-4FBB-9804-00CC8C59147F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P15" i="10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<sst xmlns="http://schemas.openxmlformats.org/spreadsheetml/2006/main" count="275" uniqueCount="128">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</sst>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7" workbookViewId="0">
      <selection activeCell="D12" sqref="D12"/>
    </sheetView>
  </sheetViews>
  <sheetFormatPr defaultColWidth="11" defaultRowHeight="15.75" x14ac:dyDescent="0.25"/>
  <cols>
    <col min="2" max="2" width="5.625" bestFit="1" customWidth="1"/>
    <col min="3" max="3" width="10" bestFit="1" customWidth="1"/>
    <col min="4" max="19" width="7.875" customWidth="1"/>
    <col min="20" max="20" width="8" customWidth="1"/>
  </cols>
  <sheetData>
    <row r="1" spans="1:20" ht="21" x14ac:dyDescent="0.25">
      <c r="A1" s="24" t="s">
        <v>127</v>
      </c>
      <c r="B1" s="1"/>
      <c r="C1" s="1"/>
    </row>
    <row r="2" spans="1:20" x14ac:dyDescent="0.25">
      <c r="A2" s="34" t="s">
        <v>0</v>
      </c>
      <c r="B2" s="1"/>
      <c r="C2" s="1"/>
    </row>
    <row r="3" spans="1:20" x14ac:dyDescent="0.25">
      <c r="B3" s="1"/>
      <c r="C3" s="1"/>
    </row>
    <row r="4" spans="1:20" x14ac:dyDescent="0.25">
      <c r="A4" s="2" t="s">
        <v>1</v>
      </c>
      <c r="B4" s="6">
        <v>322</v>
      </c>
      <c r="C4" s="1" t="s">
        <v>2</v>
      </c>
    </row>
    <row r="6" spans="1:20" x14ac:dyDescent="0.25">
      <c r="A6" s="4" t="s">
        <v>3</v>
      </c>
    </row>
    <row r="7" spans="1:20" ht="16.5" thickBot="1" x14ac:dyDescent="0.3"/>
    <row r="8" spans="1:20" ht="15.95" customHeight="1" thickBot="1" x14ac:dyDescent="0.3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5.95" customHeight="1" thickBot="1" x14ac:dyDescent="0.3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6.5" thickBot="1" x14ac:dyDescent="0.3">
      <c r="B10" s="62" t="s">
        <v>6</v>
      </c>
      <c r="C10" s="37">
        <v>1212039</v>
      </c>
      <c r="D10" s="36"/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0</v>
      </c>
    </row>
    <row r="11" spans="1:20" ht="16.5" thickBot="1" x14ac:dyDescent="0.3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6.5" thickBot="1" x14ac:dyDescent="0.3">
      <c r="B12" s="63"/>
      <c r="C12" s="8">
        <v>1212047</v>
      </c>
      <c r="D12" s="8"/>
      <c r="E12" s="9"/>
      <c r="F12" s="36"/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0</v>
      </c>
    </row>
    <row r="13" spans="1:20" ht="16.5" thickBot="1" x14ac:dyDescent="0.3">
      <c r="B13" s="63"/>
      <c r="C13" s="8">
        <v>1221720</v>
      </c>
      <c r="D13" s="8"/>
      <c r="E13" s="8"/>
      <c r="F13" s="9"/>
      <c r="G13" s="36"/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0</v>
      </c>
    </row>
    <row r="14" spans="1:20" ht="16.5" thickBot="1" x14ac:dyDescent="0.3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6.5" thickBot="1" x14ac:dyDescent="0.3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6.5" thickBot="1" x14ac:dyDescent="0.3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6.5" thickBot="1" x14ac:dyDescent="0.3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6.5" thickBot="1" x14ac:dyDescent="0.3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6.5" thickBot="1" x14ac:dyDescent="0.3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6.5" thickBot="1" x14ac:dyDescent="0.3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6.5" thickBot="1" x14ac:dyDescent="0.3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6.5" thickBot="1" x14ac:dyDescent="0.3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6.5" thickBot="1" x14ac:dyDescent="0.3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6.5" thickBot="1" x14ac:dyDescent="0.3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6.5" thickBot="1" x14ac:dyDescent="0.3">
      <c r="B25" s="1"/>
      <c r="C25" s="45" t="s">
        <v>5</v>
      </c>
      <c r="D25" s="46">
        <f t="shared" ref="D25:R25" si="1">IFERROR(AVERAGE(D10:D24),0)</f>
        <v>0</v>
      </c>
      <c r="E25" s="46">
        <f t="shared" si="1"/>
        <v>0</v>
      </c>
      <c r="F25" s="46">
        <f t="shared" si="1"/>
        <v>0</v>
      </c>
      <c r="G25" s="46">
        <f t="shared" si="1"/>
        <v>0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5">
      <c r="A27" s="4" t="s">
        <v>7</v>
      </c>
    </row>
    <row r="28" spans="1:19" x14ac:dyDescent="0.25">
      <c r="A28" t="s">
        <v>8</v>
      </c>
    </row>
    <row r="29" spans="1:19" x14ac:dyDescent="0.25">
      <c r="A29" s="3" t="s">
        <v>9</v>
      </c>
    </row>
    <row r="30" spans="1:19" x14ac:dyDescent="0.25">
      <c r="A30" t="s">
        <v>10</v>
      </c>
    </row>
    <row r="31" spans="1:19" x14ac:dyDescent="0.25">
      <c r="A31">
        <v>0</v>
      </c>
      <c r="B31" t="s">
        <v>11</v>
      </c>
    </row>
    <row r="32" spans="1:19" x14ac:dyDescent="0.25">
      <c r="A32">
        <v>1</v>
      </c>
      <c r="B32" t="s">
        <v>12</v>
      </c>
    </row>
    <row r="33" spans="1:2" x14ac:dyDescent="0.25">
      <c r="A33">
        <v>2</v>
      </c>
      <c r="B33" t="s">
        <v>13</v>
      </c>
    </row>
    <row r="34" spans="1:2" x14ac:dyDescent="0.25">
      <c r="A34">
        <v>3</v>
      </c>
      <c r="B34" t="s">
        <v>14</v>
      </c>
    </row>
    <row r="35" spans="1:2" x14ac:dyDescent="0.25">
      <c r="A35">
        <v>4</v>
      </c>
      <c r="B35" t="s">
        <v>15</v>
      </c>
    </row>
    <row r="36" spans="1:2" x14ac:dyDescent="0.25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B6" sqref="B6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30" t="s">
        <v>17</v>
      </c>
    </row>
    <row r="2" spans="1:10" ht="16.5" thickBot="1" x14ac:dyDescent="0.3"/>
    <row r="3" spans="1:10" x14ac:dyDescent="0.25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5" x14ac:dyDescent="0.25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48" thickBot="1" x14ac:dyDescent="0.3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47.25" x14ac:dyDescent="0.25">
      <c r="A6" s="14">
        <v>10</v>
      </c>
      <c r="B6" s="29">
        <v>1221720</v>
      </c>
      <c r="C6" s="29"/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47.25" x14ac:dyDescent="0.25">
      <c r="A7" s="14">
        <v>11</v>
      </c>
      <c r="B7" s="29">
        <v>1221720</v>
      </c>
      <c r="C7" s="29"/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47.25" x14ac:dyDescent="0.25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47.25" x14ac:dyDescent="0.25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47.25" x14ac:dyDescent="0.25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47.25" x14ac:dyDescent="0.25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47.25" x14ac:dyDescent="0.25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47.25" x14ac:dyDescent="0.25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47.25" x14ac:dyDescent="0.25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47.25" x14ac:dyDescent="0.25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47.25" x14ac:dyDescent="0.25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47.25" x14ac:dyDescent="0.25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47.25" x14ac:dyDescent="0.25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47.25" x14ac:dyDescent="0.25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47.25" x14ac:dyDescent="0.25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47.25" x14ac:dyDescent="0.25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47.25" x14ac:dyDescent="0.25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47.25" x14ac:dyDescent="0.25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47.25" x14ac:dyDescent="0.25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48" thickBot="1" x14ac:dyDescent="0.3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C4" sqref="C4:F7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75" style="1" bestFit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5" thickBot="1" x14ac:dyDescent="0.3"/>
    <row r="3" spans="1:26" ht="48" x14ac:dyDescent="0.2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3" x14ac:dyDescent="0.25">
      <c r="A4" s="14" t="s">
        <v>40</v>
      </c>
      <c r="B4" s="17">
        <v>0.1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 t="e">
        <f t="shared" ref="R4:R7" si="0">AVERAGE(C4:Q4)</f>
        <v>#DIV/0!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0.25" x14ac:dyDescent="0.25">
      <c r="A5" s="14" t="s">
        <v>47</v>
      </c>
      <c r="B5" s="17">
        <v>0.2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 t="e">
        <f t="shared" si="0"/>
        <v>#DIV/0!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78.75" x14ac:dyDescent="0.25">
      <c r="A6" s="14" t="s">
        <v>54</v>
      </c>
      <c r="B6" s="17">
        <v>0.5</v>
      </c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 t="e">
        <f t="shared" si="0"/>
        <v>#DIV/0!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78.75" x14ac:dyDescent="0.25">
      <c r="A7" s="14" t="s">
        <v>60</v>
      </c>
      <c r="B7" s="17">
        <v>0.2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 t="e">
        <f t="shared" si="0"/>
        <v>#DIV/0!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x14ac:dyDescent="0.25">
      <c r="A8" s="14" t="s">
        <v>36</v>
      </c>
      <c r="B8" s="18">
        <f>SUM(B4:B7)</f>
        <v>1</v>
      </c>
      <c r="C8" s="7">
        <f t="shared" ref="C8:Q8" si="1">SUMPRODUCT(C4:C7,$B$4:$B$7)</f>
        <v>0</v>
      </c>
      <c r="D8" s="7">
        <f t="shared" si="1"/>
        <v>0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5" thickBot="1" x14ac:dyDescent="0.3">
      <c r="A9" s="22" t="s">
        <v>66</v>
      </c>
      <c r="B9" s="23"/>
      <c r="C9" s="23">
        <f>C8/5*20</f>
        <v>0</v>
      </c>
      <c r="D9" s="23">
        <f t="shared" ref="D9:Q9" si="2">D8/5*20</f>
        <v>0</v>
      </c>
      <c r="E9" s="23">
        <f t="shared" si="2"/>
        <v>0</v>
      </c>
      <c r="F9" s="23">
        <f t="shared" si="2"/>
        <v>0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workbookViewId="0">
      <selection activeCell="C4" sqref="C4:F14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4" width="20.625" style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5">
      <c r="A4" s="14" t="s">
        <v>68</v>
      </c>
      <c r="B4" s="17">
        <v>0.1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 t="e">
        <f t="shared" ref="R4:R7" si="0">AVERAGE(C4:Q4)</f>
        <v>#DIV/0!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5">
      <c r="A5" s="14" t="s">
        <v>75</v>
      </c>
      <c r="B5" s="17">
        <v>0.1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 t="e">
        <f t="shared" si="0"/>
        <v>#DIV/0!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31.5" x14ac:dyDescent="0.25">
      <c r="A6" s="14" t="s">
        <v>82</v>
      </c>
      <c r="B6" s="17">
        <v>0.05</v>
      </c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 t="e">
        <f t="shared" si="0"/>
        <v>#DIV/0!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47.25" x14ac:dyDescent="0.25">
      <c r="A7" s="14" t="s">
        <v>89</v>
      </c>
      <c r="B7" s="17">
        <v>0.05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 t="e">
        <f t="shared" si="0"/>
        <v>#DIV/0!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3" x14ac:dyDescent="0.25">
      <c r="A8" s="14" t="s">
        <v>95</v>
      </c>
      <c r="B8" s="17">
        <v>0.1</v>
      </c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 t="e">
        <f t="shared" ref="R8:R12" si="1">AVERAGE(C8:Q8)</f>
        <v>#DIV/0!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3" x14ac:dyDescent="0.25">
      <c r="A9" s="14" t="s">
        <v>101</v>
      </c>
      <c r="B9" s="17">
        <v>0.05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 t="e">
        <f t="shared" ref="R9:R11" si="2">AVERAGE(C9:Q9)</f>
        <v>#DIV/0!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78.75" x14ac:dyDescent="0.25">
      <c r="A10" s="14" t="s">
        <v>106</v>
      </c>
      <c r="B10" s="17">
        <v>0.1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 t="e">
        <f t="shared" si="2"/>
        <v>#DIV/0!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1.5" x14ac:dyDescent="0.25">
      <c r="A11" s="14" t="s">
        <v>112</v>
      </c>
      <c r="B11" s="17">
        <v>0.1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 t="e">
        <f t="shared" si="2"/>
        <v>#DIV/0!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1.5" x14ac:dyDescent="0.25">
      <c r="A12" s="14" t="s">
        <v>118</v>
      </c>
      <c r="B12" s="17">
        <v>0.1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 t="e">
        <f t="shared" si="1"/>
        <v>#DIV/0!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31.5" x14ac:dyDescent="0.25">
      <c r="A13" s="14" t="s">
        <v>119</v>
      </c>
      <c r="B13" s="17">
        <v>0.1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 t="e">
        <f t="shared" ref="R13:R14" si="3">AVERAGE(C13:Q13)</f>
        <v>#DIV/0!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1.5" x14ac:dyDescent="0.25">
      <c r="A14" s="14" t="s">
        <v>126</v>
      </c>
      <c r="B14" s="17">
        <v>0.15</v>
      </c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 t="e">
        <f t="shared" si="3"/>
        <v>#DIV/0!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x14ac:dyDescent="0.25">
      <c r="A15" s="14" t="s">
        <v>36</v>
      </c>
      <c r="B15" s="18">
        <f>SUM(B4:B14)</f>
        <v>1</v>
      </c>
      <c r="C15" s="7">
        <f>SUMPRODUCT(C4:C14,$B$4:$B$14)</f>
        <v>0</v>
      </c>
      <c r="D15" s="7">
        <f t="shared" ref="D15:Q15" si="4">SUMPRODUCT(D4:D14,$B$4:$B$14)</f>
        <v>0</v>
      </c>
      <c r="E15" s="7">
        <f t="shared" si="4"/>
        <v>0</v>
      </c>
      <c r="F15" s="7">
        <f t="shared" si="4"/>
        <v>0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25">
      <c r="A16" s="22" t="s">
        <v>66</v>
      </c>
      <c r="B16" s="23"/>
      <c r="C16" s="23">
        <f>C15/5*20</f>
        <v>0</v>
      </c>
      <c r="D16" s="23">
        <f t="shared" ref="D16:Q16" si="5">D15/5*20</f>
        <v>0</v>
      </c>
      <c r="E16" s="23">
        <f t="shared" si="5"/>
        <v>0</v>
      </c>
      <c r="F16" s="23">
        <f t="shared" si="5"/>
        <v>0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Rafael Ascenção Carolo</cp:lastModifiedBy>
  <cp:revision/>
  <dcterms:created xsi:type="dcterms:W3CDTF">2021-10-23T17:18:59Z</dcterms:created>
  <dcterms:modified xsi:type="dcterms:W3CDTF">2024-01-02T21:13:13Z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