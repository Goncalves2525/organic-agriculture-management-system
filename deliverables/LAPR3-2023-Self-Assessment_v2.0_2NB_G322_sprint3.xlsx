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aulo\Desktop\lapr3-2023-2024-group322_main\deliverables\"/>
    </mc:Choice>
  </mc:AlternateContent>
  <xr:revisionPtr revIDLastSave="0" documentId="13_ncr:1_{F3C9073D-ECE0-4CC5-8358-7FD64BDA8DF5}" xr6:coauthVersionLast="47" xr6:coauthVersionMax="47" xr10:uidLastSave="{00000000-0000-0000-0000-000000000000}"/>
  <bookViews>
    <workbookView xWindow="1097" yWindow="1097" windowWidth="24686" windowHeight="13054" xr2:uid="{00000000-000D-0000-FFFF-FFFF00000000}"/>
  </bookViews>
  <sheets>
    <sheet name="Group and Self Assessment" sheetId="2" r:id="rId1"/>
    <sheet name="User Stories" sheetId="5" r:id="rId2"/>
    <sheet name="Project Development" sheetId="1" r:id="rId3"/>
    <sheet name="Project Management" sheetId="10" r:id="rId4"/>
  </sheets>
  <externalReferences>
    <externalReference r:id="rId5"/>
  </externalReferences>
  <definedNames>
    <definedName name="ItemEval">[1]!Table2[ItemEval]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2" l="1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D25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10" i="2"/>
  <c r="Q15" i="10"/>
  <c r="Q16" i="10" s="1"/>
  <c r="P15" i="10"/>
  <c r="P16" i="10" s="1"/>
  <c r="O15" i="10"/>
  <c r="N15" i="10"/>
  <c r="N16" i="10" s="1"/>
  <c r="M15" i="10"/>
  <c r="M16" i="10" s="1"/>
  <c r="L15" i="10"/>
  <c r="L16" i="10" s="1"/>
  <c r="K15" i="10"/>
  <c r="K16" i="10" s="1"/>
  <c r="J15" i="10"/>
  <c r="J16" i="10" s="1"/>
  <c r="I15" i="10"/>
  <c r="I16" i="10" s="1"/>
  <c r="H15" i="10"/>
  <c r="H16" i="10" s="1"/>
  <c r="G15" i="10"/>
  <c r="F15" i="10"/>
  <c r="F16" i="10" s="1"/>
  <c r="E15" i="10"/>
  <c r="E16" i="10" s="1"/>
  <c r="D15" i="10"/>
  <c r="D16" i="10" s="1"/>
  <c r="C15" i="10"/>
  <c r="C16" i="10" s="1"/>
  <c r="B15" i="10"/>
  <c r="R14" i="10"/>
  <c r="R13" i="10"/>
  <c r="R11" i="10"/>
  <c r="R10" i="10"/>
  <c r="R9" i="10"/>
  <c r="R7" i="10"/>
  <c r="R6" i="10"/>
  <c r="R5" i="10"/>
  <c r="R4" i="10"/>
  <c r="R12" i="10"/>
  <c r="R8" i="10"/>
  <c r="O16" i="10"/>
  <c r="G16" i="10"/>
  <c r="X3" i="10"/>
  <c r="W3" i="10"/>
  <c r="V3" i="10"/>
  <c r="U3" i="10"/>
  <c r="T3" i="10"/>
  <c r="S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R4" i="1"/>
  <c r="R5" i="1"/>
  <c r="R6" i="1"/>
  <c r="R7" i="1"/>
  <c r="X3" i="1"/>
  <c r="W3" i="1"/>
  <c r="V3" i="1"/>
  <c r="U3" i="1"/>
  <c r="T3" i="1"/>
  <c r="S3" i="1"/>
  <c r="B8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Q8" i="1"/>
  <c r="Q9" i="1"/>
  <c r="I8" i="1"/>
  <c r="I9" i="1"/>
  <c r="H8" i="1"/>
  <c r="H9" i="1"/>
  <c r="P8" i="1"/>
  <c r="P9" i="1"/>
  <c r="G8" i="1"/>
  <c r="G9" i="1" s="1"/>
  <c r="N8" i="1"/>
  <c r="N9" i="1"/>
  <c r="F8" i="1"/>
  <c r="F9" i="1" s="1"/>
  <c r="M8" i="1"/>
  <c r="M9" i="1"/>
  <c r="E8" i="1"/>
  <c r="E9" i="1" s="1"/>
  <c r="L8" i="1"/>
  <c r="L9" i="1"/>
  <c r="K8" i="1"/>
  <c r="K9" i="1"/>
  <c r="O8" i="1"/>
  <c r="O9" i="1"/>
  <c r="J8" i="1"/>
  <c r="J9" i="1"/>
  <c r="D8" i="1"/>
  <c r="D9" i="1" s="1"/>
  <c r="C8" i="1"/>
  <c r="C9" i="1" s="1"/>
</calcChain>
</file>

<file path=xl/sharedStrings.xml><?xml version="1.0" encoding="utf-8"?>
<sst xmlns="http://schemas.openxmlformats.org/spreadsheetml/2006/main" count="275" uniqueCount="128">
  <si>
    <t>Fill the cells with a blue background</t>
  </si>
  <si>
    <t>TeamID #</t>
  </si>
  <si>
    <t>(e.g. 101)</t>
  </si>
  <si>
    <t>How do you grade yourself and your peers?</t>
  </si>
  <si>
    <t>List B</t>
  </si>
  <si>
    <t>Average</t>
  </si>
  <si>
    <t>List A</t>
  </si>
  <si>
    <t>Instructions:</t>
  </si>
  <si>
    <t>Write your student numbers on Colum C from row 10 to 24.</t>
  </si>
  <si>
    <t>Student from List A should assess the student on List B with a grade from 0 to 5.</t>
  </si>
  <si>
    <t>On the diagonal Students should fill their self-assessment.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</si>
  <si>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</si>
  <si>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</si>
  <si>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</si>
  <si>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</si>
  <si>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</si>
  <si>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</si>
  <si>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</si>
  <si>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</si>
  <si>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</si>
  <si>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</si>
  <si>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</si>
  <si>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</si>
  <si>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</si>
  <si>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</si>
  <si>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</si>
  <si>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</si>
  <si>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</si>
  <si>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</si>
  <si>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</si>
  <si>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</si>
  <si>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</si>
  <si>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</si>
  <si>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</si>
  <si>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</si>
  <si>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Weight</t>
  </si>
  <si>
    <t>Total</t>
  </si>
  <si>
    <t>Project Development Self-Assessment</t>
  </si>
  <si>
    <t>Rubric</t>
  </si>
  <si>
    <t>Teacher
Assessment</t>
  </si>
  <si>
    <t>Commit Messages</t>
  </si>
  <si>
    <t>Less than 25% of commits have a well-formed commit message</t>
  </si>
  <si>
    <t>About 25% of commits have a well-formed commit message</t>
  </si>
  <si>
    <t>2 – Not Applicable</t>
  </si>
  <si>
    <t>About 50% of commits have a well-formed commit message</t>
  </si>
  <si>
    <t>At least 90% of commits have a well-formed commit message</t>
  </si>
  <si>
    <t>All commits have a well-formed commit message</t>
  </si>
  <si>
    <t>Project Report 
and Documentation</t>
  </si>
  <si>
    <t>No report or documentation.</t>
  </si>
  <si>
    <t>Has at least a solution Domain Model or Relational Model or Class Diagram.</t>
  </si>
  <si>
    <t>Has at least a solution Domain Model or Relational Model or Class Diagram, and some user stories have been documented.</t>
  </si>
  <si>
    <t>Has a solution Domain Model and Relational Model and Class Diagram, and most user stories have been documented.</t>
  </si>
  <si>
    <t>Has a solution Domain Model and Relational Model and Class Diagram, and all user stories have been documented.</t>
  </si>
  <si>
    <t>The students have exceeded expectations</t>
  </si>
  <si>
    <t>Requirements</t>
  </si>
  <si>
    <t>No solution has 
been developed for 
the requirements </t>
  </si>
  <si>
    <t>Most of the 
requirements 
have not been met </t>
  </si>
  <si>
    <t>Most of the 
requirements were 
minimally fulfilled, 
although with 
some flaws </t>
  </si>
  <si>
    <t>All requirements 
have been met 
almost in 
their entirety </t>
  </si>
  <si>
    <t>All requirements 
have been met 
completely. </t>
  </si>
  <si>
    <t>Sprint Review / 
Demonstration</t>
  </si>
  <si>
    <t>Without any kind of preparation </t>
  </si>
  <si>
    <t>There was some preparation </t>
  </si>
  <si>
    <t>There was some 
preparation but with flaws in the 
demonstration data 
and the speech </t>
  </si>
  <si>
    <t>There was a good 
preparation but 
with flaws in 
the speech</t>
  </si>
  <si>
    <t>There was good 
preparation with 
no flaws in the 
demonstration 
data</t>
  </si>
  <si>
    <t>Total (0-20)</t>
  </si>
  <si>
    <t>Project Management Self-Assessment</t>
  </si>
  <si>
    <t>Create the Sprint Backlog</t>
  </si>
  <si>
    <t>Sprint backlog not created or created with less than 50% of US</t>
  </si>
  <si>
    <t>Sprint backlog created with more than 50% of US and added tasks, bugs and epics (if applicable)</t>
  </si>
  <si>
    <t>All US inserted, with syntax correction, added additional notes with mode detail, annex and other information in some US</t>
  </si>
  <si>
    <t>US with correct syntax, additional detail in notes and annex in most issues</t>
  </si>
  <si>
    <t>All the previous plus added the correct categorizations to issues and inserted the issues for Scrum events (Dailly meeting, retrospective, review)</t>
  </si>
  <si>
    <t>All the previous and inserted correctly additional US based on team judgement and Project Management requirements (Reviews and other requirements for each sprint)</t>
  </si>
  <si>
    <t>Task splitting from User Stories</t>
  </si>
  <si>
    <t>No decomposition of tasks</t>
  </si>
  <si>
    <t>Less than 25% of US were decomposed in sub-tasks</t>
  </si>
  <si>
    <t>Tasks decomposition in 26%-75% of US with more than 2 sub-tasks</t>
  </si>
  <si>
    <t xml:space="preserve">Decomposition in more 76% - 90% of US with more than 3 sub-tasks </t>
  </si>
  <si>
    <t>More than 91% of US with decomposition and even distribution of tasks among team members</t>
  </si>
  <si>
    <t>One sub task per day per team member</t>
  </si>
  <si>
    <t>User Stories prioritization</t>
  </si>
  <si>
    <t>None</t>
  </si>
  <si>
    <t>Less than 50% of US were prioritized</t>
  </si>
  <si>
    <t> More than 51% were prioritized</t>
  </si>
  <si>
    <t>Between 75%-90% with correct distribution </t>
  </si>
  <si>
    <t>More than 90% with correct distribution </t>
  </si>
  <si>
    <t>All US prioritized with correct distribution</t>
  </si>
  <si>
    <t>User Stories estimation</t>
  </si>
  <si>
    <t>Less than 25% of US estimated</t>
  </si>
  <si>
    <t xml:space="preserve">Between 26% and 75% US estimated </t>
  </si>
  <si>
    <t>Between 76% and 90% US estimated </t>
  </si>
  <si>
    <t>All US estimated </t>
  </si>
  <si>
    <t>All US estimated with evidence of different techniques used</t>
  </si>
  <si>
    <t>Daily Meeting occurrences and registered on Jira</t>
  </si>
  <si>
    <t>Less than 25% registered</t>
  </si>
  <si>
    <t>Between 25% and 50% registered </t>
  </si>
  <si>
    <t>Between 51% and 75% registered </t>
  </si>
  <si>
    <t>Between 76% and 100% registered </t>
  </si>
  <si>
    <t>All registered with outstanding evidence</t>
  </si>
  <si>
    <t>Daily Progress registered</t>
  </si>
  <si>
    <t>none</t>
  </si>
  <si>
    <t>Less than 25% with evidence of status change</t>
  </si>
  <si>
    <t>More than 50% with correct status change and comments on issues</t>
  </si>
  <si>
    <t>All tasks with correct status change, comments and working hours inserted</t>
  </si>
  <si>
    <t>Retrospective registered</t>
  </si>
  <si>
    <t>Made with low quality and relevance</t>
  </si>
  <si>
    <t>Good content but method and record with low quality</t>
  </si>
  <si>
    <t>Good content with good method and record</t>
  </si>
  <si>
    <t>Good content method and record with good improvement plan</t>
  </si>
  <si>
    <t>Excellent content, method and record with excellent improvement plan and actions inserted in tasks</t>
  </si>
  <si>
    <t>Burndown Chart</t>
  </si>
  <si>
    <t>Present but with errors</t>
  </si>
  <si>
    <t xml:space="preserve">Low quality </t>
  </si>
  <si>
    <t>Medium quality </t>
  </si>
  <si>
    <t>Good quality </t>
  </si>
  <si>
    <t>Excellent</t>
  </si>
  <si>
    <t>Sprint Review Demonstration</t>
  </si>
  <si>
    <t>Percentage of Sprint conclusion</t>
  </si>
  <si>
    <t> No sprint execution</t>
  </si>
  <si>
    <t>Between 0-30% executed</t>
  </si>
  <si>
    <t>Between 31-50% executed</t>
  </si>
  <si>
    <t>Between 51-75% executed</t>
  </si>
  <si>
    <t>Between 76-95% executed</t>
  </si>
  <si>
    <t>More than 96% executed</t>
  </si>
  <si>
    <t>Overall Sprint management</t>
  </si>
  <si>
    <t>LAPR3 Project Group and Self-assessment v4.0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</si>
</sst>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0" fillId="0" borderId="6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5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24" xfId="0" applyBorder="1" applyAlignment="1">
      <alignment horizontal="center" vertical="center" textRotation="65" wrapText="1"/>
    </xf>
    <xf numFmtId="0" fontId="0" fillId="0" borderId="20" xfId="0" applyBorder="1" applyAlignment="1">
      <alignment horizontal="center" vertical="center" wrapText="1"/>
    </xf>
    <xf numFmtId="2" fontId="0" fillId="0" borderId="21" xfId="0" applyNumberFormat="1" applyBorder="1" applyAlignment="1">
      <alignment horizontal="center" vertical="center" wrapText="1"/>
    </xf>
    <xf numFmtId="0" fontId="0" fillId="2" borderId="25" xfId="0" applyFill="1" applyBorder="1" applyAlignment="1">
      <alignment horizontal="center" vertical="center" wrapText="1"/>
    </xf>
    <xf numFmtId="0" fontId="0" fillId="2" borderId="26" xfId="0" applyFill="1" applyBorder="1" applyAlignment="1">
      <alignment horizontal="center" vertical="center" wrapText="1"/>
    </xf>
    <xf numFmtId="2" fontId="0" fillId="0" borderId="27" xfId="0" applyNumberFormat="1" applyBorder="1" applyAlignment="1">
      <alignment horizontal="center" vertical="center" wrapText="1"/>
    </xf>
    <xf numFmtId="2" fontId="0" fillId="0" borderId="28" xfId="0" applyNumberFormat="1" applyBorder="1"/>
    <xf numFmtId="2" fontId="0" fillId="0" borderId="29" xfId="0" applyNumberFormat="1" applyBorder="1"/>
    <xf numFmtId="2" fontId="0" fillId="0" borderId="30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2" fontId="0" fillId="0" borderId="4" xfId="0" applyNumberForma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1" fontId="0" fillId="0" borderId="32" xfId="0" applyNumberForma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theme="0" tint="-0.499984740745262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400900</xdr:colOff>
      <xdr:row>19</xdr:row>
      <xdr:rowOff>41220</xdr:rowOff>
    </xdr:from>
    <xdr:to>
      <xdr:col>20</xdr:col>
      <xdr:colOff>401260</xdr:colOff>
      <xdr:row>19</xdr:row>
      <xdr:rowOff>41580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36"/>
  <sheetViews>
    <sheetView tabSelected="1" topLeftCell="A9" workbookViewId="0">
      <selection activeCell="S11" sqref="S11"/>
    </sheetView>
  </sheetViews>
  <sheetFormatPr defaultColWidth="11" defaultRowHeight="15.9" x14ac:dyDescent="0.45"/>
  <cols>
    <col min="2" max="2" width="5.640625" bestFit="1" customWidth="1"/>
    <col min="3" max="3" width="10" bestFit="1" customWidth="1"/>
    <col min="4" max="19" width="7.85546875" customWidth="1"/>
    <col min="20" max="20" width="8" customWidth="1"/>
  </cols>
  <sheetData>
    <row r="1" spans="1:20" ht="20.6" x14ac:dyDescent="0.45">
      <c r="A1" s="24" t="s">
        <v>127</v>
      </c>
      <c r="B1" s="1"/>
      <c r="C1" s="1"/>
    </row>
    <row r="2" spans="1:20" x14ac:dyDescent="0.45">
      <c r="A2" s="34" t="s">
        <v>0</v>
      </c>
      <c r="B2" s="1"/>
      <c r="C2" s="1"/>
    </row>
    <row r="3" spans="1:20" x14ac:dyDescent="0.45">
      <c r="B3" s="1"/>
      <c r="C3" s="1"/>
    </row>
    <row r="4" spans="1:20" x14ac:dyDescent="0.45">
      <c r="A4" s="2" t="s">
        <v>1</v>
      </c>
      <c r="B4" s="6">
        <v>322</v>
      </c>
      <c r="C4" s="1" t="s">
        <v>2</v>
      </c>
    </row>
    <row r="6" spans="1:20" x14ac:dyDescent="0.45">
      <c r="A6" s="4" t="s">
        <v>3</v>
      </c>
    </row>
    <row r="7" spans="1:20" ht="16.3" thickBot="1" x14ac:dyDescent="0.5"/>
    <row r="8" spans="1:20" ht="16" customHeight="1" thickBot="1" x14ac:dyDescent="0.5">
      <c r="B8" s="1"/>
      <c r="C8" s="1"/>
      <c r="E8" s="65" t="s">
        <v>4</v>
      </c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7"/>
    </row>
    <row r="9" spans="1:20" ht="106" customHeight="1" thickBot="1" x14ac:dyDescent="0.5">
      <c r="B9" s="1"/>
      <c r="C9" s="1"/>
      <c r="D9" s="42">
        <f>C10</f>
        <v>1212039</v>
      </c>
      <c r="E9" s="43">
        <f>C11</f>
        <v>1212044</v>
      </c>
      <c r="F9" s="43">
        <f>C12</f>
        <v>1212047</v>
      </c>
      <c r="G9" s="43">
        <f>C13</f>
        <v>1221720</v>
      </c>
      <c r="H9" s="43">
        <f>C14</f>
        <v>0</v>
      </c>
      <c r="I9" s="43">
        <f>C15</f>
        <v>0</v>
      </c>
      <c r="J9" s="43">
        <f>C16</f>
        <v>0</v>
      </c>
      <c r="K9" s="43">
        <f>C17</f>
        <v>0</v>
      </c>
      <c r="L9" s="43">
        <f>C18</f>
        <v>0</v>
      </c>
      <c r="M9" s="43">
        <f>C19</f>
        <v>0</v>
      </c>
      <c r="N9" s="43">
        <f>C20</f>
        <v>0</v>
      </c>
      <c r="O9" s="43">
        <f>C21</f>
        <v>0</v>
      </c>
      <c r="P9" s="43">
        <f>C22</f>
        <v>0</v>
      </c>
      <c r="Q9" s="43">
        <f>C23</f>
        <v>0</v>
      </c>
      <c r="R9" s="43">
        <f>C24</f>
        <v>0</v>
      </c>
      <c r="S9" s="44" t="s">
        <v>5</v>
      </c>
    </row>
    <row r="10" spans="1:20" ht="16.3" thickBot="1" x14ac:dyDescent="0.5">
      <c r="B10" s="62" t="s">
        <v>6</v>
      </c>
      <c r="C10" s="37">
        <v>1212039</v>
      </c>
      <c r="D10" s="36">
        <v>4</v>
      </c>
      <c r="E10" s="38">
        <v>4</v>
      </c>
      <c r="F10" s="39">
        <v>5</v>
      </c>
      <c r="G10" s="39">
        <v>5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7"/>
      <c r="S10" s="50">
        <f t="shared" ref="S10:S24" si="0">IFERROR(AVERAGE(D10:R10),0)</f>
        <v>4.5</v>
      </c>
    </row>
    <row r="11" spans="1:20" ht="16.3" thickBot="1" x14ac:dyDescent="0.5">
      <c r="B11" s="63"/>
      <c r="C11" s="8">
        <v>1212044</v>
      </c>
      <c r="D11" s="9">
        <v>4</v>
      </c>
      <c r="E11" s="36">
        <v>3</v>
      </c>
      <c r="F11" s="35">
        <v>5</v>
      </c>
      <c r="G11" s="8">
        <v>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10"/>
      <c r="S11" s="51">
        <f t="shared" si="0"/>
        <v>4.25</v>
      </c>
    </row>
    <row r="12" spans="1:20" ht="16.3" thickBot="1" x14ac:dyDescent="0.5">
      <c r="B12" s="63"/>
      <c r="C12" s="8">
        <v>1212047</v>
      </c>
      <c r="D12" s="8">
        <v>4</v>
      </c>
      <c r="E12" s="9">
        <v>3</v>
      </c>
      <c r="F12" s="36">
        <v>4</v>
      </c>
      <c r="G12" s="35">
        <v>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10"/>
      <c r="S12" s="51">
        <f t="shared" si="0"/>
        <v>4</v>
      </c>
    </row>
    <row r="13" spans="1:20" ht="16.3" thickBot="1" x14ac:dyDescent="0.5">
      <c r="B13" s="63"/>
      <c r="C13" s="8">
        <v>1221720</v>
      </c>
      <c r="D13" s="8">
        <v>4</v>
      </c>
      <c r="E13" s="8">
        <v>4</v>
      </c>
      <c r="F13" s="9">
        <v>5</v>
      </c>
      <c r="G13" s="36">
        <v>4</v>
      </c>
      <c r="H13" s="35"/>
      <c r="I13" s="8"/>
      <c r="J13" s="8"/>
      <c r="K13" s="8"/>
      <c r="L13" s="8"/>
      <c r="M13" s="8"/>
      <c r="N13" s="8"/>
      <c r="O13" s="8"/>
      <c r="P13" s="8"/>
      <c r="Q13" s="8"/>
      <c r="R13" s="10"/>
      <c r="S13" s="51">
        <f t="shared" si="0"/>
        <v>4.25</v>
      </c>
    </row>
    <row r="14" spans="1:20" ht="16.3" thickBot="1" x14ac:dyDescent="0.5">
      <c r="B14" s="63"/>
      <c r="C14" s="8"/>
      <c r="D14" s="8"/>
      <c r="E14" s="8"/>
      <c r="F14" s="8"/>
      <c r="G14" s="9"/>
      <c r="H14" s="36"/>
      <c r="I14" s="35"/>
      <c r="J14" s="8"/>
      <c r="K14" s="8"/>
      <c r="L14" s="8"/>
      <c r="M14" s="8"/>
      <c r="N14" s="8"/>
      <c r="O14" s="8"/>
      <c r="P14" s="8"/>
      <c r="Q14" s="8"/>
      <c r="R14" s="10"/>
      <c r="S14" s="51">
        <f t="shared" si="0"/>
        <v>0</v>
      </c>
    </row>
    <row r="15" spans="1:20" ht="16.3" thickBot="1" x14ac:dyDescent="0.5">
      <c r="B15" s="63"/>
      <c r="C15" s="8"/>
      <c r="D15" s="8"/>
      <c r="E15" s="8"/>
      <c r="F15" s="8"/>
      <c r="G15" s="8"/>
      <c r="H15" s="9"/>
      <c r="I15" s="36"/>
      <c r="J15" s="35"/>
      <c r="K15" s="8"/>
      <c r="L15" s="8"/>
      <c r="M15" s="8"/>
      <c r="N15" s="8"/>
      <c r="O15" s="8"/>
      <c r="P15" s="8"/>
      <c r="Q15" s="8"/>
      <c r="R15" s="10"/>
      <c r="S15" s="51">
        <f t="shared" si="0"/>
        <v>0</v>
      </c>
    </row>
    <row r="16" spans="1:20" ht="16.3" thickBot="1" x14ac:dyDescent="0.5">
      <c r="B16" s="63"/>
      <c r="C16" s="8"/>
      <c r="D16" s="8"/>
      <c r="E16" s="8"/>
      <c r="F16" s="8"/>
      <c r="G16" s="8"/>
      <c r="H16" s="8"/>
      <c r="I16" s="9"/>
      <c r="J16" s="36"/>
      <c r="K16" s="35"/>
      <c r="L16" s="8"/>
      <c r="M16" s="8"/>
      <c r="N16" s="8"/>
      <c r="O16" s="8"/>
      <c r="P16" s="8"/>
      <c r="Q16" s="8"/>
      <c r="R16" s="10"/>
      <c r="S16" s="51">
        <f t="shared" si="0"/>
        <v>0</v>
      </c>
    </row>
    <row r="17" spans="1:19" ht="16.3" thickBot="1" x14ac:dyDescent="0.5">
      <c r="B17" s="63"/>
      <c r="C17" s="8"/>
      <c r="D17" s="8"/>
      <c r="E17" s="8"/>
      <c r="F17" s="8"/>
      <c r="G17" s="8"/>
      <c r="H17" s="8"/>
      <c r="I17" s="8"/>
      <c r="J17" s="9"/>
      <c r="K17" s="36"/>
      <c r="L17" s="35"/>
      <c r="M17" s="8"/>
      <c r="N17" s="8"/>
      <c r="O17" s="8"/>
      <c r="P17" s="8"/>
      <c r="Q17" s="8"/>
      <c r="R17" s="10"/>
      <c r="S17" s="51">
        <f t="shared" si="0"/>
        <v>0</v>
      </c>
    </row>
    <row r="18" spans="1:19" ht="16.3" thickBot="1" x14ac:dyDescent="0.5">
      <c r="B18" s="63"/>
      <c r="C18" s="8"/>
      <c r="D18" s="8"/>
      <c r="E18" s="8"/>
      <c r="F18" s="8"/>
      <c r="G18" s="8"/>
      <c r="H18" s="8"/>
      <c r="I18" s="8"/>
      <c r="J18" s="8"/>
      <c r="K18" s="9"/>
      <c r="L18" s="36"/>
      <c r="M18" s="35"/>
      <c r="N18" s="8"/>
      <c r="O18" s="8"/>
      <c r="P18" s="8"/>
      <c r="Q18" s="8"/>
      <c r="R18" s="10"/>
      <c r="S18" s="51">
        <f t="shared" si="0"/>
        <v>0</v>
      </c>
    </row>
    <row r="19" spans="1:19" ht="16.3" thickBot="1" x14ac:dyDescent="0.5">
      <c r="B19" s="63"/>
      <c r="C19" s="8"/>
      <c r="D19" s="8"/>
      <c r="E19" s="8"/>
      <c r="F19" s="8"/>
      <c r="G19" s="8"/>
      <c r="H19" s="8"/>
      <c r="I19" s="8"/>
      <c r="J19" s="8"/>
      <c r="K19" s="8"/>
      <c r="L19" s="9"/>
      <c r="M19" s="36"/>
      <c r="N19" s="35"/>
      <c r="O19" s="8"/>
      <c r="P19" s="8"/>
      <c r="Q19" s="8"/>
      <c r="R19" s="10"/>
      <c r="S19" s="51">
        <f t="shared" si="0"/>
        <v>0</v>
      </c>
    </row>
    <row r="20" spans="1:19" ht="16.3" thickBot="1" x14ac:dyDescent="0.5">
      <c r="B20" s="63"/>
      <c r="C20" s="8"/>
      <c r="D20" s="8"/>
      <c r="E20" s="8"/>
      <c r="F20" s="8"/>
      <c r="G20" s="8"/>
      <c r="H20" s="8"/>
      <c r="I20" s="8"/>
      <c r="J20" s="8"/>
      <c r="K20" s="8"/>
      <c r="L20" s="8"/>
      <c r="M20" s="9"/>
      <c r="N20" s="36"/>
      <c r="O20" s="35"/>
      <c r="P20" s="8"/>
      <c r="Q20" s="8"/>
      <c r="R20" s="10"/>
      <c r="S20" s="51">
        <f t="shared" si="0"/>
        <v>0</v>
      </c>
    </row>
    <row r="21" spans="1:19" ht="16.3" thickBot="1" x14ac:dyDescent="0.5">
      <c r="B21" s="63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9"/>
      <c r="O21" s="36"/>
      <c r="P21" s="35"/>
      <c r="Q21" s="8"/>
      <c r="R21" s="10"/>
      <c r="S21" s="51">
        <f t="shared" si="0"/>
        <v>0</v>
      </c>
    </row>
    <row r="22" spans="1:19" ht="16.3" thickBot="1" x14ac:dyDescent="0.5">
      <c r="B22" s="63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9"/>
      <c r="P22" s="36"/>
      <c r="Q22" s="35"/>
      <c r="R22" s="10"/>
      <c r="S22" s="51">
        <f t="shared" si="0"/>
        <v>0</v>
      </c>
    </row>
    <row r="23" spans="1:19" ht="16.3" thickBot="1" x14ac:dyDescent="0.5">
      <c r="B23" s="63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  <c r="Q23" s="36"/>
      <c r="R23" s="47"/>
      <c r="S23" s="51">
        <f t="shared" si="0"/>
        <v>0</v>
      </c>
    </row>
    <row r="24" spans="1:19" ht="16.3" thickBot="1" x14ac:dyDescent="0.5">
      <c r="B24" s="64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1"/>
      <c r="R24" s="48"/>
      <c r="S24" s="52">
        <f t="shared" si="0"/>
        <v>0</v>
      </c>
    </row>
    <row r="25" spans="1:19" ht="16.3" thickBot="1" x14ac:dyDescent="0.5">
      <c r="B25" s="1"/>
      <c r="C25" s="45" t="s">
        <v>5</v>
      </c>
      <c r="D25" s="46">
        <f t="shared" ref="D25:R25" si="1">IFERROR(AVERAGE(D10:D24),0)</f>
        <v>4</v>
      </c>
      <c r="E25" s="46">
        <f t="shared" si="1"/>
        <v>3.5</v>
      </c>
      <c r="F25" s="46">
        <f t="shared" si="1"/>
        <v>4.75</v>
      </c>
      <c r="G25" s="46">
        <f t="shared" si="1"/>
        <v>4.75</v>
      </c>
      <c r="H25" s="46">
        <f t="shared" si="1"/>
        <v>0</v>
      </c>
      <c r="I25" s="46">
        <f t="shared" si="1"/>
        <v>0</v>
      </c>
      <c r="J25" s="46">
        <f t="shared" si="1"/>
        <v>0</v>
      </c>
      <c r="K25" s="46">
        <f t="shared" si="1"/>
        <v>0</v>
      </c>
      <c r="L25" s="46">
        <f t="shared" si="1"/>
        <v>0</v>
      </c>
      <c r="M25" s="46">
        <f t="shared" si="1"/>
        <v>0</v>
      </c>
      <c r="N25" s="46">
        <f t="shared" si="1"/>
        <v>0</v>
      </c>
      <c r="O25" s="46">
        <f t="shared" si="1"/>
        <v>0</v>
      </c>
      <c r="P25" s="46">
        <f t="shared" si="1"/>
        <v>0</v>
      </c>
      <c r="Q25" s="46">
        <f t="shared" si="1"/>
        <v>0</v>
      </c>
      <c r="R25" s="49">
        <f t="shared" si="1"/>
        <v>0</v>
      </c>
      <c r="S25" s="53"/>
    </row>
    <row r="27" spans="1:19" x14ac:dyDescent="0.45">
      <c r="A27" s="4" t="s">
        <v>7</v>
      </c>
    </row>
    <row r="28" spans="1:19" x14ac:dyDescent="0.45">
      <c r="A28" t="s">
        <v>8</v>
      </c>
    </row>
    <row r="29" spans="1:19" x14ac:dyDescent="0.45">
      <c r="A29" s="3" t="s">
        <v>9</v>
      </c>
    </row>
    <row r="30" spans="1:19" x14ac:dyDescent="0.45">
      <c r="A30" t="s">
        <v>10</v>
      </c>
    </row>
    <row r="31" spans="1:19" x14ac:dyDescent="0.45">
      <c r="A31">
        <v>0</v>
      </c>
      <c r="B31" t="s">
        <v>11</v>
      </c>
    </row>
    <row r="32" spans="1:19" x14ac:dyDescent="0.45">
      <c r="A32">
        <v>1</v>
      </c>
      <c r="B32" t="s">
        <v>12</v>
      </c>
    </row>
    <row r="33" spans="1:2" x14ac:dyDescent="0.45">
      <c r="A33">
        <v>2</v>
      </c>
      <c r="B33" t="s">
        <v>13</v>
      </c>
    </row>
    <row r="34" spans="1:2" x14ac:dyDescent="0.45">
      <c r="A34">
        <v>3</v>
      </c>
      <c r="B34" t="s">
        <v>14</v>
      </c>
    </row>
    <row r="35" spans="1:2" x14ac:dyDescent="0.45">
      <c r="A35">
        <v>4</v>
      </c>
      <c r="B35" t="s">
        <v>15</v>
      </c>
    </row>
    <row r="36" spans="1:2" x14ac:dyDescent="0.45">
      <c r="A36">
        <v>5</v>
      </c>
      <c r="B36" t="s">
        <v>16</v>
      </c>
    </row>
  </sheetData>
  <mergeCells count="2">
    <mergeCell ref="B10:B24"/>
    <mergeCell ref="E8:T8"/>
  </mergeCells>
  <conditionalFormatting sqref="S10:S25 D25:R25">
    <cfRule type="cellIs" dxfId="1" priority="1" operator="equal">
      <formula>0</formula>
    </cfRule>
  </conditionalFormatting>
  <dataValidations count="1">
    <dataValidation type="list" allowBlank="1" showInputMessage="1" showErrorMessage="1" sqref="D10:R24" xr:uid="{00000000-0002-0000-0000-000000000000}">
      <formula1>$A$31:$A$36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25"/>
  <sheetViews>
    <sheetView workbookViewId="0">
      <selection activeCell="D8" sqref="D8"/>
    </sheetView>
  </sheetViews>
  <sheetFormatPr defaultColWidth="20.140625" defaultRowHeight="15.9" x14ac:dyDescent="0.45"/>
  <cols>
    <col min="1" max="1" width="11.140625" bestFit="1" customWidth="1"/>
    <col min="2" max="2" width="18" bestFit="1" customWidth="1"/>
    <col min="4" max="4" width="22.5" customWidth="1"/>
    <col min="5" max="10" width="27.5" customWidth="1"/>
  </cols>
  <sheetData>
    <row r="1" spans="1:10" ht="20.6" x14ac:dyDescent="0.55000000000000004">
      <c r="A1" s="30" t="s">
        <v>17</v>
      </c>
    </row>
    <row r="2" spans="1:10" ht="16.3" thickBot="1" x14ac:dyDescent="0.5"/>
    <row r="3" spans="1:10" x14ac:dyDescent="0.45">
      <c r="A3" s="62" t="s">
        <v>18</v>
      </c>
      <c r="B3" s="70" t="s">
        <v>19</v>
      </c>
      <c r="C3" s="70" t="s">
        <v>20</v>
      </c>
      <c r="D3" s="68" t="s">
        <v>21</v>
      </c>
      <c r="E3" s="11">
        <v>0</v>
      </c>
      <c r="F3" s="21">
        <v>1</v>
      </c>
      <c r="G3" s="21">
        <v>2</v>
      </c>
      <c r="H3" s="21">
        <v>3</v>
      </c>
      <c r="I3" s="21">
        <v>4</v>
      </c>
      <c r="J3" s="12">
        <v>5</v>
      </c>
    </row>
    <row r="4" spans="1:10" ht="31.75" x14ac:dyDescent="0.45">
      <c r="A4" s="63"/>
      <c r="B4" s="71"/>
      <c r="C4" s="71"/>
      <c r="D4" s="69"/>
      <c r="E4" s="14" t="s">
        <v>22</v>
      </c>
      <c r="F4" s="7" t="s">
        <v>23</v>
      </c>
      <c r="G4" s="7" t="s">
        <v>24</v>
      </c>
      <c r="H4" s="7" t="s">
        <v>25</v>
      </c>
      <c r="I4" s="7" t="s">
        <v>26</v>
      </c>
      <c r="J4" s="15" t="s">
        <v>27</v>
      </c>
    </row>
    <row r="5" spans="1:10" ht="48" thickBot="1" x14ac:dyDescent="0.5">
      <c r="A5" s="63"/>
      <c r="B5" s="71"/>
      <c r="C5" s="71"/>
      <c r="D5" s="69"/>
      <c r="E5" s="22" t="s">
        <v>28</v>
      </c>
      <c r="F5" s="23" t="s">
        <v>29</v>
      </c>
      <c r="G5" s="23" t="s">
        <v>30</v>
      </c>
      <c r="H5" s="23" t="s">
        <v>31</v>
      </c>
      <c r="I5" s="23" t="s">
        <v>32</v>
      </c>
      <c r="J5" s="16" t="s">
        <v>33</v>
      </c>
    </row>
    <row r="6" spans="1:10" ht="47.6" x14ac:dyDescent="0.45">
      <c r="A6" s="14">
        <v>10</v>
      </c>
      <c r="B6" s="29">
        <v>1221720</v>
      </c>
      <c r="C6" s="29">
        <v>4</v>
      </c>
      <c r="D6" s="60"/>
      <c r="E6" s="31" t="s">
        <v>28</v>
      </c>
      <c r="F6" s="32" t="s">
        <v>29</v>
      </c>
      <c r="G6" s="32" t="s">
        <v>30</v>
      </c>
      <c r="H6" s="32" t="s">
        <v>31</v>
      </c>
      <c r="I6" s="32" t="s">
        <v>32</v>
      </c>
      <c r="J6" s="33" t="s">
        <v>34</v>
      </c>
    </row>
    <row r="7" spans="1:10" ht="47.6" x14ac:dyDescent="0.45">
      <c r="A7" s="14">
        <v>11</v>
      </c>
      <c r="B7" s="29">
        <v>1221720</v>
      </c>
      <c r="C7" s="29">
        <v>4</v>
      </c>
      <c r="D7" s="60"/>
      <c r="E7" s="14" t="s">
        <v>28</v>
      </c>
      <c r="F7" s="7" t="s">
        <v>29</v>
      </c>
      <c r="G7" s="7" t="s">
        <v>30</v>
      </c>
      <c r="H7" s="7" t="s">
        <v>31</v>
      </c>
      <c r="I7" s="7" t="s">
        <v>32</v>
      </c>
      <c r="J7" s="33" t="s">
        <v>34</v>
      </c>
    </row>
    <row r="8" spans="1:10" ht="47.6" x14ac:dyDescent="0.45">
      <c r="A8" s="14"/>
      <c r="B8" s="29"/>
      <c r="C8" s="29"/>
      <c r="D8" s="60"/>
      <c r="E8" s="14" t="s">
        <v>28</v>
      </c>
      <c r="F8" s="7" t="s">
        <v>29</v>
      </c>
      <c r="G8" s="7" t="s">
        <v>30</v>
      </c>
      <c r="H8" s="7" t="s">
        <v>31</v>
      </c>
      <c r="I8" s="7" t="s">
        <v>32</v>
      </c>
      <c r="J8" s="33" t="s">
        <v>34</v>
      </c>
    </row>
    <row r="9" spans="1:10" ht="47.6" x14ac:dyDescent="0.45">
      <c r="A9" s="14"/>
      <c r="B9" s="29"/>
      <c r="C9" s="29"/>
      <c r="D9" s="60"/>
      <c r="E9" s="14" t="s">
        <v>28</v>
      </c>
      <c r="F9" s="7" t="s">
        <v>29</v>
      </c>
      <c r="G9" s="7" t="s">
        <v>30</v>
      </c>
      <c r="H9" s="7" t="s">
        <v>31</v>
      </c>
      <c r="I9" s="7" t="s">
        <v>32</v>
      </c>
      <c r="J9" s="33" t="s">
        <v>34</v>
      </c>
    </row>
    <row r="10" spans="1:10" ht="47.6" x14ac:dyDescent="0.45">
      <c r="A10" s="14"/>
      <c r="B10" s="29"/>
      <c r="C10" s="29"/>
      <c r="D10" s="60"/>
      <c r="E10" s="14" t="s">
        <v>28</v>
      </c>
      <c r="F10" s="7" t="s">
        <v>29</v>
      </c>
      <c r="G10" s="7" t="s">
        <v>30</v>
      </c>
      <c r="H10" s="7" t="s">
        <v>31</v>
      </c>
      <c r="I10" s="7" t="s">
        <v>32</v>
      </c>
      <c r="J10" s="33" t="s">
        <v>34</v>
      </c>
    </row>
    <row r="11" spans="1:10" ht="47.6" x14ac:dyDescent="0.45">
      <c r="A11" s="14"/>
      <c r="B11" s="29"/>
      <c r="C11" s="29"/>
      <c r="D11" s="60"/>
      <c r="E11" s="14" t="s">
        <v>28</v>
      </c>
      <c r="F11" s="7" t="s">
        <v>29</v>
      </c>
      <c r="G11" s="7" t="s">
        <v>30</v>
      </c>
      <c r="H11" s="7" t="s">
        <v>31</v>
      </c>
      <c r="I11" s="7" t="s">
        <v>32</v>
      </c>
      <c r="J11" s="33" t="s">
        <v>34</v>
      </c>
    </row>
    <row r="12" spans="1:10" ht="47.6" x14ac:dyDescent="0.45">
      <c r="A12" s="14"/>
      <c r="B12" s="29"/>
      <c r="C12" s="29"/>
      <c r="D12" s="60"/>
      <c r="E12" s="14" t="s">
        <v>28</v>
      </c>
      <c r="F12" s="7" t="s">
        <v>29</v>
      </c>
      <c r="G12" s="7" t="s">
        <v>30</v>
      </c>
      <c r="H12" s="7" t="s">
        <v>31</v>
      </c>
      <c r="I12" s="7" t="s">
        <v>32</v>
      </c>
      <c r="J12" s="33" t="s">
        <v>34</v>
      </c>
    </row>
    <row r="13" spans="1:10" ht="47.6" x14ac:dyDescent="0.45">
      <c r="A13" s="14"/>
      <c r="B13" s="29"/>
      <c r="C13" s="29"/>
      <c r="D13" s="60"/>
      <c r="E13" s="14" t="s">
        <v>28</v>
      </c>
      <c r="F13" s="7" t="s">
        <v>29</v>
      </c>
      <c r="G13" s="7" t="s">
        <v>30</v>
      </c>
      <c r="H13" s="7" t="s">
        <v>31</v>
      </c>
      <c r="I13" s="7" t="s">
        <v>32</v>
      </c>
      <c r="J13" s="33" t="s">
        <v>34</v>
      </c>
    </row>
    <row r="14" spans="1:10" ht="47.6" x14ac:dyDescent="0.45">
      <c r="A14" s="14"/>
      <c r="B14" s="29"/>
      <c r="C14" s="29"/>
      <c r="D14" s="60"/>
      <c r="E14" s="14" t="s">
        <v>28</v>
      </c>
      <c r="F14" s="7" t="s">
        <v>29</v>
      </c>
      <c r="G14" s="7" t="s">
        <v>30</v>
      </c>
      <c r="H14" s="7" t="s">
        <v>31</v>
      </c>
      <c r="I14" s="7" t="s">
        <v>32</v>
      </c>
      <c r="J14" s="33" t="s">
        <v>34</v>
      </c>
    </row>
    <row r="15" spans="1:10" ht="47.6" x14ac:dyDescent="0.45">
      <c r="A15" s="14"/>
      <c r="B15" s="29"/>
      <c r="C15" s="29"/>
      <c r="D15" s="60"/>
      <c r="E15" s="14" t="s">
        <v>28</v>
      </c>
      <c r="F15" s="7" t="s">
        <v>29</v>
      </c>
      <c r="G15" s="7" t="s">
        <v>30</v>
      </c>
      <c r="H15" s="7" t="s">
        <v>31</v>
      </c>
      <c r="I15" s="7" t="s">
        <v>32</v>
      </c>
      <c r="J15" s="33" t="s">
        <v>34</v>
      </c>
    </row>
    <row r="16" spans="1:10" ht="47.6" x14ac:dyDescent="0.45">
      <c r="A16" s="14"/>
      <c r="B16" s="29"/>
      <c r="C16" s="29"/>
      <c r="D16" s="60"/>
      <c r="E16" s="14" t="s">
        <v>28</v>
      </c>
      <c r="F16" s="7" t="s">
        <v>29</v>
      </c>
      <c r="G16" s="7" t="s">
        <v>30</v>
      </c>
      <c r="H16" s="7" t="s">
        <v>31</v>
      </c>
      <c r="I16" s="7" t="s">
        <v>32</v>
      </c>
      <c r="J16" s="33" t="s">
        <v>34</v>
      </c>
    </row>
    <row r="17" spans="1:10" ht="47.6" x14ac:dyDescent="0.45">
      <c r="A17" s="14"/>
      <c r="B17" s="29"/>
      <c r="C17" s="29"/>
      <c r="D17" s="60"/>
      <c r="E17" s="14" t="s">
        <v>28</v>
      </c>
      <c r="F17" s="7" t="s">
        <v>29</v>
      </c>
      <c r="G17" s="7" t="s">
        <v>30</v>
      </c>
      <c r="H17" s="7" t="s">
        <v>31</v>
      </c>
      <c r="I17" s="7" t="s">
        <v>32</v>
      </c>
      <c r="J17" s="33" t="s">
        <v>34</v>
      </c>
    </row>
    <row r="18" spans="1:10" ht="47.6" x14ac:dyDescent="0.45">
      <c r="A18" s="14"/>
      <c r="B18" s="29"/>
      <c r="C18" s="29"/>
      <c r="D18" s="60"/>
      <c r="E18" s="14" t="s">
        <v>28</v>
      </c>
      <c r="F18" s="7" t="s">
        <v>29</v>
      </c>
      <c r="G18" s="7" t="s">
        <v>30</v>
      </c>
      <c r="H18" s="7" t="s">
        <v>31</v>
      </c>
      <c r="I18" s="7" t="s">
        <v>32</v>
      </c>
      <c r="J18" s="33" t="s">
        <v>34</v>
      </c>
    </row>
    <row r="19" spans="1:10" ht="47.6" x14ac:dyDescent="0.45">
      <c r="A19" s="14"/>
      <c r="B19" s="29"/>
      <c r="C19" s="29"/>
      <c r="D19" s="60"/>
      <c r="E19" s="14" t="s">
        <v>28</v>
      </c>
      <c r="F19" s="7" t="s">
        <v>29</v>
      </c>
      <c r="G19" s="7" t="s">
        <v>30</v>
      </c>
      <c r="H19" s="7" t="s">
        <v>31</v>
      </c>
      <c r="I19" s="7" t="s">
        <v>32</v>
      </c>
      <c r="J19" s="33" t="s">
        <v>34</v>
      </c>
    </row>
    <row r="20" spans="1:10" ht="47.6" x14ac:dyDescent="0.45">
      <c r="A20" s="14"/>
      <c r="B20" s="29"/>
      <c r="C20" s="29"/>
      <c r="D20" s="60"/>
      <c r="E20" s="14" t="s">
        <v>28</v>
      </c>
      <c r="F20" s="7" t="s">
        <v>29</v>
      </c>
      <c r="G20" s="7" t="s">
        <v>30</v>
      </c>
      <c r="H20" s="7" t="s">
        <v>31</v>
      </c>
      <c r="I20" s="7" t="s">
        <v>32</v>
      </c>
      <c r="J20" s="33" t="s">
        <v>34</v>
      </c>
    </row>
    <row r="21" spans="1:10" ht="47.6" x14ac:dyDescent="0.45">
      <c r="A21" s="14"/>
      <c r="B21" s="29"/>
      <c r="C21" s="29"/>
      <c r="D21" s="60"/>
      <c r="E21" s="14" t="s">
        <v>28</v>
      </c>
      <c r="F21" s="7" t="s">
        <v>29</v>
      </c>
      <c r="G21" s="7" t="s">
        <v>30</v>
      </c>
      <c r="H21" s="7" t="s">
        <v>31</v>
      </c>
      <c r="I21" s="7" t="s">
        <v>32</v>
      </c>
      <c r="J21" s="33" t="s">
        <v>34</v>
      </c>
    </row>
    <row r="22" spans="1:10" ht="47.6" x14ac:dyDescent="0.45">
      <c r="A22" s="14"/>
      <c r="B22" s="29"/>
      <c r="C22" s="29"/>
      <c r="D22" s="60"/>
      <c r="E22" s="14" t="s">
        <v>28</v>
      </c>
      <c r="F22" s="7" t="s">
        <v>29</v>
      </c>
      <c r="G22" s="7" t="s">
        <v>30</v>
      </c>
      <c r="H22" s="7" t="s">
        <v>31</v>
      </c>
      <c r="I22" s="7" t="s">
        <v>32</v>
      </c>
      <c r="J22" s="33" t="s">
        <v>34</v>
      </c>
    </row>
    <row r="23" spans="1:10" ht="47.6" x14ac:dyDescent="0.45">
      <c r="A23" s="14"/>
      <c r="B23" s="29"/>
      <c r="C23" s="29"/>
      <c r="D23" s="60"/>
      <c r="E23" s="14" t="s">
        <v>28</v>
      </c>
      <c r="F23" s="7" t="s">
        <v>29</v>
      </c>
      <c r="G23" s="7" t="s">
        <v>30</v>
      </c>
      <c r="H23" s="7" t="s">
        <v>31</v>
      </c>
      <c r="I23" s="7" t="s">
        <v>32</v>
      </c>
      <c r="J23" s="33" t="s">
        <v>34</v>
      </c>
    </row>
    <row r="24" spans="1:10" ht="47.6" x14ac:dyDescent="0.45">
      <c r="A24" s="14"/>
      <c r="B24" s="29"/>
      <c r="C24" s="29"/>
      <c r="D24" s="60"/>
      <c r="E24" s="14" t="s">
        <v>28</v>
      </c>
      <c r="F24" s="7" t="s">
        <v>29</v>
      </c>
      <c r="G24" s="7" t="s">
        <v>30</v>
      </c>
      <c r="H24" s="7" t="s">
        <v>31</v>
      </c>
      <c r="I24" s="7" t="s">
        <v>32</v>
      </c>
      <c r="J24" s="33" t="s">
        <v>34</v>
      </c>
    </row>
    <row r="25" spans="1:10" ht="48" thickBot="1" x14ac:dyDescent="0.5">
      <c r="A25" s="22"/>
      <c r="B25" s="54"/>
      <c r="C25" s="54"/>
      <c r="D25" s="61"/>
      <c r="E25" s="22" t="s">
        <v>28</v>
      </c>
      <c r="F25" s="23" t="s">
        <v>29</v>
      </c>
      <c r="G25" s="23" t="s">
        <v>30</v>
      </c>
      <c r="H25" s="23" t="s">
        <v>31</v>
      </c>
      <c r="I25" s="23" t="s">
        <v>32</v>
      </c>
      <c r="J25" s="33" t="s">
        <v>34</v>
      </c>
    </row>
  </sheetData>
  <mergeCells count="4">
    <mergeCell ref="D3:D5"/>
    <mergeCell ref="C3:C5"/>
    <mergeCell ref="B3:B5"/>
    <mergeCell ref="A3:A5"/>
  </mergeCells>
  <conditionalFormatting sqref="E6:J25">
    <cfRule type="expression" dxfId="0" priority="1" stopIfTrue="1">
      <formula>$C6=E$3</formula>
    </cfRule>
  </conditionalFormatting>
  <dataValidations count="2">
    <dataValidation type="list" allowBlank="1" showInputMessage="1" showErrorMessage="1" sqref="C18:C25" xr:uid="{00000000-0002-0000-0100-000000000000}">
      <formula1>$E$40:$J$40</formula1>
    </dataValidation>
    <dataValidation type="list" allowBlank="1" showInputMessage="1" showErrorMessage="1" sqref="C6:C17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Assessment'!$C$10:$C$24</xm:f>
          </x14:formula1>
          <xm:sqref>B6:B25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Z10"/>
  <sheetViews>
    <sheetView topLeftCell="A3" workbookViewId="0">
      <selection activeCell="D8" sqref="D8"/>
    </sheetView>
  </sheetViews>
  <sheetFormatPr defaultColWidth="10.85546875" defaultRowHeight="15.9" x14ac:dyDescent="0.45"/>
  <cols>
    <col min="1" max="1" width="14.85546875" style="1" customWidth="1"/>
    <col min="2" max="2" width="7.140625" style="1" bestFit="1" customWidth="1"/>
    <col min="3" max="17" width="5.640625" style="1" customWidth="1"/>
    <col min="18" max="18" width="12.140625" style="1" bestFit="1" customWidth="1"/>
    <col min="19" max="20" width="16.35546875" style="1" bestFit="1" customWidth="1"/>
    <col min="21" max="21" width="17.5" style="1" bestFit="1" customWidth="1"/>
    <col min="22" max="22" width="17" style="1" bestFit="1" customWidth="1"/>
    <col min="23" max="23" width="16.5" style="1" bestFit="1" customWidth="1"/>
    <col min="24" max="24" width="16.35546875" style="1" bestFit="1" customWidth="1"/>
    <col min="25" max="25" width="11" style="1" bestFit="1" customWidth="1"/>
    <col min="26" max="26" width="8.35546875" style="1" bestFit="1" customWidth="1"/>
    <col min="27" max="28" width="7.35546875" style="1" bestFit="1" customWidth="1"/>
    <col min="29" max="16384" width="10.85546875" style="1"/>
  </cols>
  <sheetData>
    <row r="1" spans="1:26" ht="20.6" x14ac:dyDescent="0.45">
      <c r="A1" s="24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26" ht="16.3" thickBot="1" x14ac:dyDescent="0.5"/>
    <row r="3" spans="1:26" ht="48" x14ac:dyDescent="0.45">
      <c r="A3" s="19" t="s">
        <v>38</v>
      </c>
      <c r="B3" s="20" t="s">
        <v>35</v>
      </c>
      <c r="C3" s="20">
        <f>'Group and Self Assessment'!C10</f>
        <v>1212039</v>
      </c>
      <c r="D3" s="20">
        <f>'Group and Self Assessment'!C11</f>
        <v>1212044</v>
      </c>
      <c r="E3" s="20">
        <f>'Group and Self Assessment'!C12</f>
        <v>1212047</v>
      </c>
      <c r="F3" s="20">
        <f>'Group and Self Assessment'!C13</f>
        <v>1221720</v>
      </c>
      <c r="G3" s="20">
        <f>'Group and Self Assessment'!C14</f>
        <v>0</v>
      </c>
      <c r="H3" s="20">
        <f>'Group and Self Assessment'!C15</f>
        <v>0</v>
      </c>
      <c r="I3" s="20">
        <f>'Group and Self Assessment'!C16</f>
        <v>0</v>
      </c>
      <c r="J3" s="20">
        <f>'Group and Self Assessment'!C17</f>
        <v>0</v>
      </c>
      <c r="K3" s="20">
        <f>'Group and Self Assessment'!C18</f>
        <v>0</v>
      </c>
      <c r="L3" s="20">
        <f>'Group and Self Assessment'!C19</f>
        <v>0</v>
      </c>
      <c r="M3" s="20">
        <f>'Group and Self Assessment'!C20</f>
        <v>0</v>
      </c>
      <c r="N3" s="20">
        <f>'Group and Self Assessment'!C21</f>
        <v>0</v>
      </c>
      <c r="O3" s="20">
        <f>'Group and Self Assessment'!C22</f>
        <v>0</v>
      </c>
      <c r="P3" s="20">
        <f>'Group and Self Assessment'!C23</f>
        <v>0</v>
      </c>
      <c r="Q3" s="20">
        <f>'Group and Self Assessment'!C24</f>
        <v>0</v>
      </c>
      <c r="R3" s="20" t="s">
        <v>5</v>
      </c>
      <c r="S3" s="26">
        <f>0</f>
        <v>0</v>
      </c>
      <c r="T3" s="21">
        <f>1</f>
        <v>1</v>
      </c>
      <c r="U3" s="21">
        <f>2</f>
        <v>2</v>
      </c>
      <c r="V3" s="26">
        <f>3</f>
        <v>3</v>
      </c>
      <c r="W3" s="26">
        <f>4</f>
        <v>4</v>
      </c>
      <c r="X3" s="26">
        <f>5</f>
        <v>5</v>
      </c>
      <c r="Y3" s="21" t="s">
        <v>39</v>
      </c>
      <c r="Z3" s="12" t="s">
        <v>21</v>
      </c>
    </row>
    <row r="4" spans="1:26" ht="63.45" x14ac:dyDescent="0.45">
      <c r="A4" s="14" t="s">
        <v>40</v>
      </c>
      <c r="B4" s="17">
        <v>0.1</v>
      </c>
      <c r="C4" s="25">
        <v>3</v>
      </c>
      <c r="D4" s="25">
        <v>4</v>
      </c>
      <c r="E4" s="25">
        <v>5</v>
      </c>
      <c r="F4" s="25">
        <v>4</v>
      </c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7">
        <f t="shared" ref="R4:R7" si="0">AVERAGE(C4:Q4)</f>
        <v>4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/>
      <c r="Z4" s="15"/>
    </row>
    <row r="5" spans="1:26" ht="111" x14ac:dyDescent="0.45">
      <c r="A5" s="14" t="s">
        <v>47</v>
      </c>
      <c r="B5" s="17">
        <v>0.2</v>
      </c>
      <c r="C5" s="25">
        <v>3</v>
      </c>
      <c r="D5" s="25">
        <v>3</v>
      </c>
      <c r="E5" s="25">
        <v>4</v>
      </c>
      <c r="F5" s="25">
        <v>4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7">
        <f t="shared" si="0"/>
        <v>3.5</v>
      </c>
      <c r="S5" s="7" t="s">
        <v>48</v>
      </c>
      <c r="T5" s="7" t="s">
        <v>49</v>
      </c>
      <c r="U5" s="7" t="s">
        <v>50</v>
      </c>
      <c r="V5" s="7" t="s">
        <v>51</v>
      </c>
      <c r="W5" s="7" t="s">
        <v>52</v>
      </c>
      <c r="X5" s="7" t="s">
        <v>53</v>
      </c>
      <c r="Y5" s="7"/>
      <c r="Z5" s="15"/>
    </row>
    <row r="6" spans="1:26" ht="79.3" x14ac:dyDescent="0.45">
      <c r="A6" s="14" t="s">
        <v>54</v>
      </c>
      <c r="B6" s="17">
        <v>0.5</v>
      </c>
      <c r="C6" s="25">
        <v>4</v>
      </c>
      <c r="D6" s="25">
        <v>3</v>
      </c>
      <c r="E6" s="25">
        <v>3</v>
      </c>
      <c r="F6" s="25">
        <v>4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7">
        <f t="shared" si="0"/>
        <v>3.5</v>
      </c>
      <c r="S6" s="7" t="s">
        <v>55</v>
      </c>
      <c r="T6" s="7" t="s">
        <v>56</v>
      </c>
      <c r="U6" s="7" t="s">
        <v>57</v>
      </c>
      <c r="V6" s="7" t="s">
        <v>58</v>
      </c>
      <c r="W6" s="7" t="s">
        <v>59</v>
      </c>
      <c r="X6" s="7" t="s">
        <v>53</v>
      </c>
      <c r="Y6" s="7"/>
      <c r="Z6" s="15"/>
    </row>
    <row r="7" spans="1:26" ht="79.3" x14ac:dyDescent="0.45">
      <c r="A7" s="14" t="s">
        <v>60</v>
      </c>
      <c r="B7" s="17">
        <v>0.2</v>
      </c>
      <c r="C7" s="25">
        <v>3</v>
      </c>
      <c r="D7" s="25">
        <v>4</v>
      </c>
      <c r="E7" s="25">
        <v>4</v>
      </c>
      <c r="F7" s="25">
        <v>4</v>
      </c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7">
        <f t="shared" si="0"/>
        <v>3.75</v>
      </c>
      <c r="S7" s="7" t="s">
        <v>61</v>
      </c>
      <c r="T7" s="7" t="s">
        <v>62</v>
      </c>
      <c r="U7" s="7" t="s">
        <v>63</v>
      </c>
      <c r="V7" s="7" t="s">
        <v>64</v>
      </c>
      <c r="W7" s="7" t="s">
        <v>65</v>
      </c>
      <c r="X7" s="7" t="s">
        <v>53</v>
      </c>
      <c r="Y7" s="7"/>
      <c r="Z7" s="15"/>
    </row>
    <row r="8" spans="1:26" x14ac:dyDescent="0.45">
      <c r="A8" s="14" t="s">
        <v>36</v>
      </c>
      <c r="B8" s="18">
        <f>SUM(B4:B7)</f>
        <v>1</v>
      </c>
      <c r="C8" s="7">
        <f t="shared" ref="C8:Q8" si="1">SUMPRODUCT(C4:C7,$B$4:$B$7)</f>
        <v>3.5000000000000004</v>
      </c>
      <c r="D8" s="7">
        <f t="shared" si="1"/>
        <v>3.3</v>
      </c>
      <c r="E8" s="7">
        <f t="shared" si="1"/>
        <v>3.5999999999999996</v>
      </c>
      <c r="F8" s="7">
        <f t="shared" si="1"/>
        <v>4</v>
      </c>
      <c r="G8" s="7">
        <f t="shared" si="1"/>
        <v>0</v>
      </c>
      <c r="H8" s="7">
        <f t="shared" si="1"/>
        <v>0</v>
      </c>
      <c r="I8" s="7">
        <f t="shared" si="1"/>
        <v>0</v>
      </c>
      <c r="J8" s="7">
        <f t="shared" si="1"/>
        <v>0</v>
      </c>
      <c r="K8" s="7">
        <f t="shared" si="1"/>
        <v>0</v>
      </c>
      <c r="L8" s="7">
        <f t="shared" si="1"/>
        <v>0</v>
      </c>
      <c r="M8" s="7">
        <f t="shared" si="1"/>
        <v>0</v>
      </c>
      <c r="N8" s="7">
        <f t="shared" si="1"/>
        <v>0</v>
      </c>
      <c r="O8" s="7">
        <f t="shared" si="1"/>
        <v>0</v>
      </c>
      <c r="P8" s="7">
        <f t="shared" si="1"/>
        <v>0</v>
      </c>
      <c r="Q8" s="7">
        <f t="shared" si="1"/>
        <v>0</v>
      </c>
      <c r="R8" s="27"/>
      <c r="S8" s="7"/>
      <c r="T8" s="7"/>
      <c r="U8" s="7"/>
      <c r="V8" s="7"/>
      <c r="W8" s="7"/>
      <c r="X8" s="7"/>
      <c r="Y8" s="7"/>
      <c r="Z8" s="15"/>
    </row>
    <row r="9" spans="1:26" ht="16.3" thickBot="1" x14ac:dyDescent="0.5">
      <c r="A9" s="22" t="s">
        <v>66</v>
      </c>
      <c r="B9" s="23"/>
      <c r="C9" s="23">
        <f>C8/5*20</f>
        <v>14.000000000000002</v>
      </c>
      <c r="D9" s="23">
        <f t="shared" ref="D9:Q9" si="2">D8/5*20</f>
        <v>13.2</v>
      </c>
      <c r="E9" s="23">
        <f t="shared" si="2"/>
        <v>14.399999999999999</v>
      </c>
      <c r="F9" s="23">
        <f t="shared" si="2"/>
        <v>16</v>
      </c>
      <c r="G9" s="23">
        <f t="shared" si="2"/>
        <v>0</v>
      </c>
      <c r="H9" s="23">
        <f t="shared" si="2"/>
        <v>0</v>
      </c>
      <c r="I9" s="23">
        <f t="shared" si="2"/>
        <v>0</v>
      </c>
      <c r="J9" s="23">
        <f t="shared" si="2"/>
        <v>0</v>
      </c>
      <c r="K9" s="23">
        <f t="shared" si="2"/>
        <v>0</v>
      </c>
      <c r="L9" s="23">
        <f t="shared" si="2"/>
        <v>0</v>
      </c>
      <c r="M9" s="23">
        <f t="shared" si="2"/>
        <v>0</v>
      </c>
      <c r="N9" s="23">
        <f t="shared" si="2"/>
        <v>0</v>
      </c>
      <c r="O9" s="23">
        <f t="shared" si="2"/>
        <v>0</v>
      </c>
      <c r="P9" s="23">
        <f t="shared" si="2"/>
        <v>0</v>
      </c>
      <c r="Q9" s="23">
        <f t="shared" si="2"/>
        <v>0</v>
      </c>
      <c r="R9" s="28"/>
      <c r="S9" s="23"/>
      <c r="T9" s="23"/>
      <c r="U9" s="23"/>
      <c r="V9" s="23"/>
      <c r="W9" s="23"/>
      <c r="X9" s="23"/>
      <c r="Y9" s="23"/>
      <c r="Z9" s="16"/>
    </row>
    <row r="10" spans="1:26" x14ac:dyDescent="0.45">
      <c r="A10" s="5"/>
    </row>
  </sheetData>
  <phoneticPr fontId="3" type="noConversion"/>
  <dataValidations count="1">
    <dataValidation type="list" allowBlank="1" showInputMessage="1" showErrorMessage="1" sqref="C4:Q7" xr:uid="{00000000-0002-0000-0200-000000000000}">
      <formula1>$S$3:$X$3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Z17"/>
  <sheetViews>
    <sheetView workbookViewId="0">
      <selection activeCell="D15" sqref="D15"/>
    </sheetView>
  </sheetViews>
  <sheetFormatPr defaultColWidth="10.85546875" defaultRowHeight="15.9" x14ac:dyDescent="0.45"/>
  <cols>
    <col min="1" max="1" width="14.85546875" style="1" customWidth="1"/>
    <col min="2" max="2" width="7.140625" style="1" bestFit="1" customWidth="1"/>
    <col min="3" max="17" width="5.640625" style="1" customWidth="1"/>
    <col min="18" max="18" width="12.140625" style="1" bestFit="1" customWidth="1"/>
    <col min="19" max="20" width="16.35546875" style="1" bestFit="1" customWidth="1"/>
    <col min="21" max="21" width="17.5" style="1" bestFit="1" customWidth="1"/>
    <col min="22" max="24" width="20.640625" style="1" customWidth="1"/>
    <col min="25" max="25" width="11" style="1" bestFit="1" customWidth="1"/>
    <col min="26" max="26" width="8.35546875" style="1" bestFit="1" customWidth="1"/>
    <col min="27" max="28" width="7.35546875" style="1" bestFit="1" customWidth="1"/>
    <col min="29" max="16384" width="10.85546875" style="1"/>
  </cols>
  <sheetData>
    <row r="1" spans="1:26" ht="20.6" x14ac:dyDescent="0.45">
      <c r="A1" s="24" t="s">
        <v>67</v>
      </c>
      <c r="B1" s="5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3" spans="1:26" ht="48" x14ac:dyDescent="0.45">
      <c r="A3" s="19" t="s">
        <v>38</v>
      </c>
      <c r="B3" s="20" t="s">
        <v>35</v>
      </c>
      <c r="C3" s="20">
        <f>'Group and Self Assessment'!C10</f>
        <v>1212039</v>
      </c>
      <c r="D3" s="20">
        <f>'Group and Self Assessment'!C11</f>
        <v>1212044</v>
      </c>
      <c r="E3" s="20">
        <f>'Group and Self Assessment'!C12</f>
        <v>1212047</v>
      </c>
      <c r="F3" s="20">
        <f>'Group and Self Assessment'!C13</f>
        <v>1221720</v>
      </c>
      <c r="G3" s="20">
        <f>'Group and Self Assessment'!C14</f>
        <v>0</v>
      </c>
      <c r="H3" s="20">
        <f>'Group and Self Assessment'!C15</f>
        <v>0</v>
      </c>
      <c r="I3" s="20">
        <f>'Group and Self Assessment'!C16</f>
        <v>0</v>
      </c>
      <c r="J3" s="20">
        <f>'Group and Self Assessment'!C17</f>
        <v>0</v>
      </c>
      <c r="K3" s="20">
        <f>'Group and Self Assessment'!C18</f>
        <v>0</v>
      </c>
      <c r="L3" s="20">
        <f>'Group and Self Assessment'!C19</f>
        <v>0</v>
      </c>
      <c r="M3" s="20">
        <f>'Group and Self Assessment'!C20</f>
        <v>0</v>
      </c>
      <c r="N3" s="20">
        <f>'Group and Self Assessment'!C21</f>
        <v>0</v>
      </c>
      <c r="O3" s="20">
        <f>'Group and Self Assessment'!C22</f>
        <v>0</v>
      </c>
      <c r="P3" s="20">
        <f>'Group and Self Assessment'!C23</f>
        <v>0</v>
      </c>
      <c r="Q3" s="20">
        <f>'Group and Self Assessment'!C24</f>
        <v>0</v>
      </c>
      <c r="R3" s="20" t="s">
        <v>5</v>
      </c>
      <c r="S3" s="57">
        <f>0</f>
        <v>0</v>
      </c>
      <c r="T3" s="58">
        <f>1</f>
        <v>1</v>
      </c>
      <c r="U3" s="58">
        <f>2</f>
        <v>2</v>
      </c>
      <c r="V3" s="57">
        <f>3</f>
        <v>3</v>
      </c>
      <c r="W3" s="57">
        <f>4</f>
        <v>4</v>
      </c>
      <c r="X3" s="57">
        <f>5</f>
        <v>5</v>
      </c>
      <c r="Y3" s="21" t="s">
        <v>39</v>
      </c>
      <c r="Z3" s="12" t="s">
        <v>21</v>
      </c>
    </row>
    <row r="4" spans="1:26" ht="144.75" customHeight="1" x14ac:dyDescent="0.45">
      <c r="A4" s="14" t="s">
        <v>68</v>
      </c>
      <c r="B4" s="17">
        <v>0.1</v>
      </c>
      <c r="C4" s="25">
        <v>4</v>
      </c>
      <c r="D4" s="25">
        <v>5</v>
      </c>
      <c r="E4" s="25">
        <v>5</v>
      </c>
      <c r="F4" s="25">
        <v>4</v>
      </c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55">
        <f t="shared" ref="R4:R7" si="0">AVERAGE(C4:Q4)</f>
        <v>4.5</v>
      </c>
      <c r="S4" s="59" t="s">
        <v>69</v>
      </c>
      <c r="T4" s="59" t="s">
        <v>70</v>
      </c>
      <c r="U4" s="59" t="s">
        <v>71</v>
      </c>
      <c r="V4" s="59" t="s">
        <v>72</v>
      </c>
      <c r="W4" s="59" t="s">
        <v>73</v>
      </c>
      <c r="X4" s="59" t="s">
        <v>74</v>
      </c>
      <c r="Y4" s="56"/>
      <c r="Z4" s="15"/>
    </row>
    <row r="5" spans="1:26" ht="101.25" customHeight="1" x14ac:dyDescent="0.45">
      <c r="A5" s="14" t="s">
        <v>75</v>
      </c>
      <c r="B5" s="17">
        <v>0.1</v>
      </c>
      <c r="C5" s="25">
        <v>4</v>
      </c>
      <c r="D5" s="25">
        <v>4</v>
      </c>
      <c r="E5" s="25">
        <v>4</v>
      </c>
      <c r="F5" s="25">
        <v>4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55">
        <f t="shared" si="0"/>
        <v>4</v>
      </c>
      <c r="S5" s="59" t="s">
        <v>76</v>
      </c>
      <c r="T5" s="59" t="s">
        <v>77</v>
      </c>
      <c r="U5" s="59" t="s">
        <v>78</v>
      </c>
      <c r="V5" s="59" t="s">
        <v>79</v>
      </c>
      <c r="W5" s="59" t="s">
        <v>80</v>
      </c>
      <c r="X5" s="59" t="s">
        <v>81</v>
      </c>
      <c r="Y5" s="56"/>
      <c r="Z5" s="15"/>
    </row>
    <row r="6" spans="1:26" ht="47.6" x14ac:dyDescent="0.45">
      <c r="A6" s="14" t="s">
        <v>82</v>
      </c>
      <c r="B6" s="17">
        <v>0.05</v>
      </c>
      <c r="C6" s="25">
        <v>5</v>
      </c>
      <c r="D6" s="25">
        <v>5</v>
      </c>
      <c r="E6" s="25">
        <v>5</v>
      </c>
      <c r="F6" s="25">
        <v>5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55">
        <f t="shared" si="0"/>
        <v>5</v>
      </c>
      <c r="S6" s="59" t="s">
        <v>83</v>
      </c>
      <c r="T6" s="59" t="s">
        <v>84</v>
      </c>
      <c r="U6" s="59" t="s">
        <v>85</v>
      </c>
      <c r="V6" s="59" t="s">
        <v>86</v>
      </c>
      <c r="W6" s="59" t="s">
        <v>87</v>
      </c>
      <c r="X6" s="59" t="s">
        <v>88</v>
      </c>
      <c r="Y6" s="56"/>
      <c r="Z6" s="15"/>
    </row>
    <row r="7" spans="1:26" ht="47.6" x14ac:dyDescent="0.45">
      <c r="A7" s="14" t="s">
        <v>89</v>
      </c>
      <c r="B7" s="17">
        <v>0.05</v>
      </c>
      <c r="C7" s="25">
        <v>4</v>
      </c>
      <c r="D7" s="25">
        <v>5</v>
      </c>
      <c r="E7" s="25">
        <v>5</v>
      </c>
      <c r="F7" s="25">
        <v>5</v>
      </c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55">
        <f t="shared" si="0"/>
        <v>4.75</v>
      </c>
      <c r="S7" s="59" t="s">
        <v>83</v>
      </c>
      <c r="T7" s="59" t="s">
        <v>90</v>
      </c>
      <c r="U7" s="59" t="s">
        <v>91</v>
      </c>
      <c r="V7" s="59" t="s">
        <v>92</v>
      </c>
      <c r="W7" s="59" t="s">
        <v>93</v>
      </c>
      <c r="X7" s="59" t="s">
        <v>94</v>
      </c>
      <c r="Y7" s="56"/>
      <c r="Z7" s="15"/>
    </row>
    <row r="8" spans="1:26" ht="47.6" x14ac:dyDescent="0.45">
      <c r="A8" s="14" t="s">
        <v>95</v>
      </c>
      <c r="B8" s="17">
        <v>0.1</v>
      </c>
      <c r="C8" s="25">
        <v>4</v>
      </c>
      <c r="D8" s="25">
        <v>5</v>
      </c>
      <c r="E8" s="25">
        <v>5</v>
      </c>
      <c r="F8" s="25">
        <v>5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55">
        <f t="shared" ref="R8:R12" si="1">AVERAGE(C8:Q8)</f>
        <v>4.75</v>
      </c>
      <c r="S8" s="59" t="s">
        <v>83</v>
      </c>
      <c r="T8" s="59" t="s">
        <v>96</v>
      </c>
      <c r="U8" s="59" t="s">
        <v>97</v>
      </c>
      <c r="V8" s="59" t="s">
        <v>98</v>
      </c>
      <c r="W8" s="59" t="s">
        <v>99</v>
      </c>
      <c r="X8" s="59" t="s">
        <v>100</v>
      </c>
      <c r="Y8" s="56"/>
      <c r="Z8" s="15"/>
    </row>
    <row r="9" spans="1:26" ht="63.45" x14ac:dyDescent="0.45">
      <c r="A9" s="14" t="s">
        <v>101</v>
      </c>
      <c r="B9" s="17">
        <v>0.05</v>
      </c>
      <c r="C9" s="25">
        <v>4</v>
      </c>
      <c r="D9" s="25">
        <v>4</v>
      </c>
      <c r="E9" s="25">
        <v>4</v>
      </c>
      <c r="F9" s="25">
        <v>4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55">
        <f t="shared" ref="R9:R11" si="2">AVERAGE(C9:Q9)</f>
        <v>4</v>
      </c>
      <c r="S9" s="59" t="s">
        <v>102</v>
      </c>
      <c r="T9" s="59" t="s">
        <v>103</v>
      </c>
      <c r="U9" s="59"/>
      <c r="V9" s="59" t="s">
        <v>104</v>
      </c>
      <c r="W9" s="59"/>
      <c r="X9" s="59" t="s">
        <v>105</v>
      </c>
      <c r="Y9" s="56"/>
      <c r="Z9" s="15"/>
    </row>
    <row r="10" spans="1:26" ht="79.3" x14ac:dyDescent="0.45">
      <c r="A10" s="14" t="s">
        <v>106</v>
      </c>
      <c r="B10" s="17">
        <v>0.1</v>
      </c>
      <c r="C10" s="25">
        <v>4</v>
      </c>
      <c r="D10" s="25">
        <v>5</v>
      </c>
      <c r="E10" s="25">
        <v>5</v>
      </c>
      <c r="F10" s="25">
        <v>4</v>
      </c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55">
        <f t="shared" si="2"/>
        <v>4.5</v>
      </c>
      <c r="S10" s="59" t="s">
        <v>102</v>
      </c>
      <c r="T10" s="59" t="s">
        <v>107</v>
      </c>
      <c r="U10" s="59" t="s">
        <v>108</v>
      </c>
      <c r="V10" s="59" t="s">
        <v>109</v>
      </c>
      <c r="W10" s="59" t="s">
        <v>110</v>
      </c>
      <c r="X10" s="59" t="s">
        <v>111</v>
      </c>
      <c r="Y10" s="56"/>
      <c r="Z10" s="15"/>
    </row>
    <row r="11" spans="1:26" ht="31.75" x14ac:dyDescent="0.45">
      <c r="A11" s="14" t="s">
        <v>112</v>
      </c>
      <c r="B11" s="17">
        <v>0.1</v>
      </c>
      <c r="C11" s="25">
        <v>3</v>
      </c>
      <c r="D11" s="25">
        <v>3</v>
      </c>
      <c r="E11" s="25">
        <v>3</v>
      </c>
      <c r="F11" s="25">
        <v>3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55">
        <f t="shared" si="2"/>
        <v>3</v>
      </c>
      <c r="S11" s="59" t="s">
        <v>102</v>
      </c>
      <c r="T11" s="59" t="s">
        <v>113</v>
      </c>
      <c r="U11" s="59" t="s">
        <v>114</v>
      </c>
      <c r="V11" s="59" t="s">
        <v>115</v>
      </c>
      <c r="W11" s="59" t="s">
        <v>116</v>
      </c>
      <c r="X11" s="59" t="s">
        <v>117</v>
      </c>
      <c r="Y11" s="56"/>
      <c r="Z11" s="15"/>
    </row>
    <row r="12" spans="1:26" ht="31.75" x14ac:dyDescent="0.45">
      <c r="A12" s="14" t="s">
        <v>118</v>
      </c>
      <c r="B12" s="17">
        <v>0.1</v>
      </c>
      <c r="C12" s="25">
        <v>3</v>
      </c>
      <c r="D12" s="25">
        <v>4</v>
      </c>
      <c r="E12" s="25">
        <v>4</v>
      </c>
      <c r="F12" s="25">
        <v>4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55">
        <f t="shared" si="1"/>
        <v>3.75</v>
      </c>
      <c r="S12" s="59" t="s">
        <v>102</v>
      </c>
      <c r="T12" s="59" t="s">
        <v>113</v>
      </c>
      <c r="U12" s="59" t="s">
        <v>114</v>
      </c>
      <c r="V12" s="59" t="s">
        <v>115</v>
      </c>
      <c r="W12" s="59" t="s">
        <v>116</v>
      </c>
      <c r="X12" s="59" t="s">
        <v>117</v>
      </c>
      <c r="Y12" s="56"/>
      <c r="Z12" s="15"/>
    </row>
    <row r="13" spans="1:26" ht="31.75" x14ac:dyDescent="0.45">
      <c r="A13" s="14" t="s">
        <v>119</v>
      </c>
      <c r="B13" s="17">
        <v>0.1</v>
      </c>
      <c r="C13" s="25">
        <v>3</v>
      </c>
      <c r="D13" s="25">
        <v>4</v>
      </c>
      <c r="E13" s="25">
        <v>4</v>
      </c>
      <c r="F13" s="25">
        <v>4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55">
        <f t="shared" ref="R13:R14" si="3">AVERAGE(C13:Q13)</f>
        <v>3.75</v>
      </c>
      <c r="S13" s="59" t="s">
        <v>120</v>
      </c>
      <c r="T13" s="59" t="s">
        <v>121</v>
      </c>
      <c r="U13" s="59" t="s">
        <v>122</v>
      </c>
      <c r="V13" s="59" t="s">
        <v>123</v>
      </c>
      <c r="W13" s="59" t="s">
        <v>124</v>
      </c>
      <c r="X13" s="59" t="s">
        <v>125</v>
      </c>
      <c r="Y13" s="56"/>
      <c r="Z13" s="15"/>
    </row>
    <row r="14" spans="1:26" ht="31.75" x14ac:dyDescent="0.45">
      <c r="A14" s="14" t="s">
        <v>126</v>
      </c>
      <c r="B14" s="17">
        <v>0.15</v>
      </c>
      <c r="C14" s="25">
        <v>3</v>
      </c>
      <c r="D14" s="25">
        <v>4</v>
      </c>
      <c r="E14" s="25">
        <v>4</v>
      </c>
      <c r="F14" s="25">
        <v>4</v>
      </c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55">
        <f t="shared" si="3"/>
        <v>3.75</v>
      </c>
      <c r="S14" s="59" t="s">
        <v>102</v>
      </c>
      <c r="T14" s="59" t="s">
        <v>113</v>
      </c>
      <c r="U14" s="59" t="s">
        <v>114</v>
      </c>
      <c r="V14" s="59" t="s">
        <v>115</v>
      </c>
      <c r="W14" s="59" t="s">
        <v>116</v>
      </c>
      <c r="X14" s="59" t="s">
        <v>117</v>
      </c>
      <c r="Y14" s="56"/>
      <c r="Z14" s="15"/>
    </row>
    <row r="15" spans="1:26" x14ac:dyDescent="0.45">
      <c r="A15" s="14" t="s">
        <v>36</v>
      </c>
      <c r="B15" s="18">
        <f>SUM(B4:B14)</f>
        <v>1</v>
      </c>
      <c r="C15" s="7">
        <f>SUMPRODUCT(C4:C14,$B$4:$B$14)</f>
        <v>3.5999999999999996</v>
      </c>
      <c r="D15" s="7">
        <f t="shared" ref="D15:Q15" si="4">SUMPRODUCT(D4:D14,$B$4:$B$14)</f>
        <v>4.3</v>
      </c>
      <c r="E15" s="7">
        <f t="shared" si="4"/>
        <v>4.3</v>
      </c>
      <c r="F15" s="7">
        <f t="shared" si="4"/>
        <v>4.0999999999999996</v>
      </c>
      <c r="G15" s="7">
        <f t="shared" si="4"/>
        <v>0</v>
      </c>
      <c r="H15" s="7">
        <f t="shared" si="4"/>
        <v>0</v>
      </c>
      <c r="I15" s="7">
        <f t="shared" si="4"/>
        <v>0</v>
      </c>
      <c r="J15" s="7">
        <f t="shared" si="4"/>
        <v>0</v>
      </c>
      <c r="K15" s="7">
        <f t="shared" si="4"/>
        <v>0</v>
      </c>
      <c r="L15" s="7">
        <f t="shared" si="4"/>
        <v>0</v>
      </c>
      <c r="M15" s="7">
        <f t="shared" si="4"/>
        <v>0</v>
      </c>
      <c r="N15" s="7">
        <f t="shared" si="4"/>
        <v>0</v>
      </c>
      <c r="O15" s="7">
        <f t="shared" si="4"/>
        <v>0</v>
      </c>
      <c r="P15" s="7">
        <f t="shared" si="4"/>
        <v>0</v>
      </c>
      <c r="Q15" s="7">
        <f t="shared" si="4"/>
        <v>0</v>
      </c>
      <c r="R15" s="27"/>
      <c r="S15" s="32"/>
      <c r="T15" s="32"/>
      <c r="U15" s="32"/>
      <c r="V15" s="32"/>
      <c r="W15" s="32"/>
      <c r="X15" s="32"/>
      <c r="Y15" s="7"/>
      <c r="Z15" s="15"/>
    </row>
    <row r="16" spans="1:26" x14ac:dyDescent="0.45">
      <c r="A16" s="22" t="s">
        <v>66</v>
      </c>
      <c r="B16" s="23"/>
      <c r="C16" s="23">
        <f>C15/5*20</f>
        <v>14.399999999999999</v>
      </c>
      <c r="D16" s="23">
        <f t="shared" ref="D16:Q16" si="5">D15/5*20</f>
        <v>17.2</v>
      </c>
      <c r="E16" s="23">
        <f t="shared" si="5"/>
        <v>17.2</v>
      </c>
      <c r="F16" s="23">
        <f t="shared" si="5"/>
        <v>16.399999999999999</v>
      </c>
      <c r="G16" s="23">
        <f t="shared" si="5"/>
        <v>0</v>
      </c>
      <c r="H16" s="23">
        <f t="shared" si="5"/>
        <v>0</v>
      </c>
      <c r="I16" s="23">
        <f t="shared" si="5"/>
        <v>0</v>
      </c>
      <c r="J16" s="23">
        <f t="shared" si="5"/>
        <v>0</v>
      </c>
      <c r="K16" s="23">
        <f t="shared" si="5"/>
        <v>0</v>
      </c>
      <c r="L16" s="23">
        <f t="shared" si="5"/>
        <v>0</v>
      </c>
      <c r="M16" s="23">
        <f t="shared" si="5"/>
        <v>0</v>
      </c>
      <c r="N16" s="23">
        <f t="shared" si="5"/>
        <v>0</v>
      </c>
      <c r="O16" s="23">
        <f t="shared" si="5"/>
        <v>0</v>
      </c>
      <c r="P16" s="23">
        <f t="shared" si="5"/>
        <v>0</v>
      </c>
      <c r="Q16" s="23">
        <f t="shared" si="5"/>
        <v>0</v>
      </c>
      <c r="R16" s="28"/>
      <c r="S16" s="23"/>
      <c r="T16" s="23"/>
      <c r="U16" s="23"/>
      <c r="V16" s="23"/>
      <c r="W16" s="23"/>
      <c r="X16" s="23"/>
      <c r="Y16" s="23"/>
      <c r="Z16" s="16"/>
    </row>
    <row r="17" spans="1:1" x14ac:dyDescent="0.45">
      <c r="A17" s="5"/>
    </row>
  </sheetData>
  <dataValidations count="1">
    <dataValidation type="list" allowBlank="1" showInputMessage="1" showErrorMessage="1" sqref="C4:Q14" xr:uid="{00000000-0002-0000-0300-000000000000}">
      <formula1>$S$3:$X$3</formula1>
    </dataValidation>
  </dataValidation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a1e3ca88-8ae5-4fd0-ba37-40ce669fcbb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8D82CB-2E6F-4A14-B6B4-DFDD1BBD70FC}">
  <ds:schemaRefs>
    <ds:schemaRef ds:uri="a1e3ca88-8ae5-4fd0-ba37-40ce669fcbb0"/>
    <ds:schemaRef ds:uri="http://schemas.microsoft.com/office/infopath/2007/PartnerControls"/>
    <ds:schemaRef ds:uri="http://purl.org/dc/dcmitype/"/>
    <ds:schemaRef ds:uri="http://purl.org/dc/terms/"/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www.w3.org/XML/1998/namespace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Group and Self Assessment</vt:lpstr>
      <vt:lpstr>User Stories</vt:lpstr>
      <vt:lpstr>Project Development</vt:lpstr>
      <vt:lpstr>Project Management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Paulo Filipe Sousa Moreira</cp:lastModifiedBy>
  <cp:revision/>
  <dcterms:created xsi:type="dcterms:W3CDTF">2021-10-23T17:18:59Z</dcterms:created>
  <dcterms:modified xsi:type="dcterms:W3CDTF">2024-01-03T21:02:25Z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