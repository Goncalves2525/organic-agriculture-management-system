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diogoespiritosanto/ESINF/master/deliverables/"/>
    </mc:Choice>
  </mc:AlternateContent>
  <xr:revisionPtr revIDLastSave="0" documentId="13_ncr:1_{0DD7351E-9855-BB43-B1D1-E8E233DB78B1}" xr6:coauthVersionLast="47" xr6:coauthVersionMax="47" xr10:uidLastSave="{00000000-0000-0000-0000-000000000000}"/>
  <bookViews>
    <workbookView xWindow="0" yWindow="860" windowWidth="29400" windowHeight="16980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Q16" i="10" s="1"/>
  <c r="P15" i="10"/>
  <c r="P16" i="10" s="1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 s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<sst xmlns="http://schemas.openxmlformats.org/spreadsheetml/2006/main" count="275" uniqueCount="128">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</sst>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7" workbookViewId="0">
      <selection activeCell="F10" sqref="F10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127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>
        <v>322</v>
      </c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7" thickBot="1" x14ac:dyDescent="0.25">
      <c r="B10" s="62" t="s">
        <v>6</v>
      </c>
      <c r="C10" s="37">
        <v>1212039</v>
      </c>
      <c r="D10" s="36">
        <v>4</v>
      </c>
      <c r="E10" s="38">
        <v>4</v>
      </c>
      <c r="F10" s="39">
        <v>5</v>
      </c>
      <c r="G10" s="39">
        <v>5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4.5</v>
      </c>
    </row>
    <row r="11" spans="1:20" ht="17" thickBot="1" x14ac:dyDescent="0.25">
      <c r="B11" s="63"/>
      <c r="C11" s="8">
        <v>1212044</v>
      </c>
      <c r="D11" s="9"/>
      <c r="E11" s="36"/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0</v>
      </c>
    </row>
    <row r="12" spans="1:20" ht="17" thickBot="1" x14ac:dyDescent="0.25">
      <c r="B12" s="63"/>
      <c r="C12" s="8">
        <v>1212047</v>
      </c>
      <c r="D12" s="8"/>
      <c r="E12" s="9"/>
      <c r="F12" s="36"/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0</v>
      </c>
    </row>
    <row r="13" spans="1:20" ht="17" thickBot="1" x14ac:dyDescent="0.2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4.25</v>
      </c>
    </row>
    <row r="14" spans="1:20" ht="17" thickBot="1" x14ac:dyDescent="0.2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7" thickBot="1" x14ac:dyDescent="0.2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7" thickBot="1" x14ac:dyDescent="0.2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7" thickBot="1" x14ac:dyDescent="0.2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7" thickBot="1" x14ac:dyDescent="0.2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7" thickBot="1" x14ac:dyDescent="0.2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7" thickBot="1" x14ac:dyDescent="0.2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7" thickBot="1" x14ac:dyDescent="0.2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7" thickBot="1" x14ac:dyDescent="0.2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7" thickBot="1" x14ac:dyDescent="0.2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7" thickBot="1" x14ac:dyDescent="0.2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8" thickBot="1" x14ac:dyDescent="0.25">
      <c r="B25" s="1"/>
      <c r="C25" s="45" t="s">
        <v>5</v>
      </c>
      <c r="D25" s="46">
        <f t="shared" ref="D25:R25" si="1">IFERROR(AVERAGE(D10:D24),0)</f>
        <v>4</v>
      </c>
      <c r="E25" s="46">
        <f t="shared" si="1"/>
        <v>4</v>
      </c>
      <c r="F25" s="46">
        <f t="shared" si="1"/>
        <v>5</v>
      </c>
      <c r="G25" s="46">
        <f t="shared" si="1"/>
        <v>4.5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2">
      <c r="A27" s="4" t="s">
        <v>7</v>
      </c>
    </row>
    <row r="28" spans="1:19" x14ac:dyDescent="0.2">
      <c r="A28" t="s">
        <v>8</v>
      </c>
    </row>
    <row r="29" spans="1:19" x14ac:dyDescent="0.2">
      <c r="A29" s="3" t="s">
        <v>9</v>
      </c>
    </row>
    <row r="30" spans="1:19" x14ac:dyDescent="0.2">
      <c r="A30" t="s">
        <v>10</v>
      </c>
    </row>
    <row r="31" spans="1:19" x14ac:dyDescent="0.2">
      <c r="A31">
        <v>0</v>
      </c>
      <c r="B31" t="s">
        <v>11</v>
      </c>
    </row>
    <row r="32" spans="1:19" x14ac:dyDescent="0.2">
      <c r="A32">
        <v>1</v>
      </c>
      <c r="B32" t="s">
        <v>12</v>
      </c>
    </row>
    <row r="33" spans="1:2" x14ac:dyDescent="0.2">
      <c r="A33">
        <v>2</v>
      </c>
      <c r="B33" t="s">
        <v>13</v>
      </c>
    </row>
    <row r="34" spans="1:2" x14ac:dyDescent="0.2">
      <c r="A34">
        <v>3</v>
      </c>
      <c r="B34" t="s">
        <v>14</v>
      </c>
    </row>
    <row r="35" spans="1:2" x14ac:dyDescent="0.2">
      <c r="A35">
        <v>4</v>
      </c>
      <c r="B35" t="s">
        <v>15</v>
      </c>
    </row>
    <row r="36" spans="1:2" x14ac:dyDescent="0.2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workbookViewId="0">
      <selection activeCell="E7" sqref="E7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17</v>
      </c>
    </row>
    <row r="2" spans="1:10" ht="17" thickBot="1" x14ac:dyDescent="0.25"/>
    <row r="3" spans="1:10" x14ac:dyDescent="0.2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52" thickBot="1" x14ac:dyDescent="0.2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51" x14ac:dyDescent="0.2">
      <c r="A6" s="14">
        <v>10</v>
      </c>
      <c r="B6" s="29">
        <v>1221720</v>
      </c>
      <c r="C6" s="29"/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51" x14ac:dyDescent="0.2">
      <c r="A7" s="14">
        <v>11</v>
      </c>
      <c r="B7" s="29">
        <v>1221720</v>
      </c>
      <c r="C7" s="29">
        <v>4</v>
      </c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51" x14ac:dyDescent="0.2">
      <c r="A8" s="14"/>
      <c r="B8" s="29"/>
      <c r="C8" s="29"/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51" x14ac:dyDescent="0.2">
      <c r="A9" s="14"/>
      <c r="B9" s="29"/>
      <c r="C9" s="29"/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51" x14ac:dyDescent="0.2">
      <c r="A10" s="14"/>
      <c r="B10" s="29"/>
      <c r="C10" s="29"/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51" x14ac:dyDescent="0.2">
      <c r="A11" s="14"/>
      <c r="B11" s="29"/>
      <c r="C11" s="29"/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51" x14ac:dyDescent="0.2">
      <c r="A12" s="14"/>
      <c r="B12" s="29"/>
      <c r="C12" s="29"/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51" x14ac:dyDescent="0.2">
      <c r="A13" s="14"/>
      <c r="B13" s="29"/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51" x14ac:dyDescent="0.2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51" x14ac:dyDescent="0.2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51" x14ac:dyDescent="0.2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51" x14ac:dyDescent="0.2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51" x14ac:dyDescent="0.2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51" x14ac:dyDescent="0.2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51" x14ac:dyDescent="0.2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51" x14ac:dyDescent="0.2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51" x14ac:dyDescent="0.2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51" x14ac:dyDescent="0.2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51" x14ac:dyDescent="0.2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52" thickBot="1" x14ac:dyDescent="0.2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C7" sqref="C7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8" x14ac:dyDescent="0.2">
      <c r="A4" s="14" t="s">
        <v>40</v>
      </c>
      <c r="B4" s="17">
        <v>0.1</v>
      </c>
      <c r="C4" s="25">
        <v>3</v>
      </c>
      <c r="D4" s="25"/>
      <c r="E4" s="25"/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3.5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9" x14ac:dyDescent="0.2">
      <c r="A5" s="14" t="s">
        <v>47</v>
      </c>
      <c r="B5" s="17">
        <v>0.2</v>
      </c>
      <c r="C5" s="25">
        <v>3</v>
      </c>
      <c r="D5" s="25"/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3.5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85" x14ac:dyDescent="0.2">
      <c r="A6" s="14" t="s">
        <v>54</v>
      </c>
      <c r="B6" s="17">
        <v>0.5</v>
      </c>
      <c r="C6" s="25">
        <v>4</v>
      </c>
      <c r="D6" s="25"/>
      <c r="E6" s="25"/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102" x14ac:dyDescent="0.2">
      <c r="A7" s="14" t="s">
        <v>60</v>
      </c>
      <c r="B7" s="17">
        <v>0.2</v>
      </c>
      <c r="C7" s="25">
        <v>3</v>
      </c>
      <c r="D7" s="25"/>
      <c r="E7" s="25"/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3.5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ht="17" x14ac:dyDescent="0.2">
      <c r="A8" s="14" t="s">
        <v>36</v>
      </c>
      <c r="B8" s="18">
        <f>SUM(B4:B7)</f>
        <v>1</v>
      </c>
      <c r="C8" s="7">
        <f t="shared" ref="C8:Q8" si="1">SUMPRODUCT(C4:C7,$B$4:$B$7)</f>
        <v>3.5000000000000004</v>
      </c>
      <c r="D8" s="7">
        <f t="shared" si="1"/>
        <v>0</v>
      </c>
      <c r="E8" s="7">
        <f t="shared" si="1"/>
        <v>0</v>
      </c>
      <c r="F8" s="7">
        <f t="shared" si="1"/>
        <v>4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66</v>
      </c>
      <c r="B9" s="23"/>
      <c r="C9" s="23">
        <f>C8/5*20</f>
        <v>14.000000000000002</v>
      </c>
      <c r="D9" s="23">
        <f t="shared" ref="D9:Q9" si="2">D8/5*20</f>
        <v>0</v>
      </c>
      <c r="E9" s="23">
        <f t="shared" si="2"/>
        <v>0</v>
      </c>
      <c r="F9" s="23">
        <f t="shared" si="2"/>
        <v>16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workbookViewId="0">
      <selection activeCell="C14" sqref="C14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2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2">
      <c r="A4" s="14" t="s">
        <v>68</v>
      </c>
      <c r="B4" s="17">
        <v>0.1</v>
      </c>
      <c r="C4" s="25">
        <v>4</v>
      </c>
      <c r="D4" s="25"/>
      <c r="E4" s="25"/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4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2">
      <c r="A5" s="14" t="s">
        <v>75</v>
      </c>
      <c r="B5" s="17">
        <v>0.1</v>
      </c>
      <c r="C5" s="25">
        <v>4</v>
      </c>
      <c r="D5" s="25"/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51" x14ac:dyDescent="0.2">
      <c r="A6" s="14" t="s">
        <v>82</v>
      </c>
      <c r="B6" s="17">
        <v>0.05</v>
      </c>
      <c r="C6" s="25">
        <v>5</v>
      </c>
      <c r="D6" s="25"/>
      <c r="E6" s="25"/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51" x14ac:dyDescent="0.2">
      <c r="A7" s="14" t="s">
        <v>89</v>
      </c>
      <c r="B7" s="17">
        <v>0.05</v>
      </c>
      <c r="C7" s="25">
        <v>4</v>
      </c>
      <c r="D7" s="25"/>
      <c r="E7" s="25"/>
      <c r="F7" s="25">
        <v>5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68" x14ac:dyDescent="0.2">
      <c r="A8" s="14" t="s">
        <v>95</v>
      </c>
      <c r="B8" s="17">
        <v>0.1</v>
      </c>
      <c r="C8" s="25">
        <v>4</v>
      </c>
      <c r="D8" s="25"/>
      <c r="E8" s="25"/>
      <c r="F8" s="25">
        <v>5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4.5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8" x14ac:dyDescent="0.2">
      <c r="A9" s="14" t="s">
        <v>101</v>
      </c>
      <c r="B9" s="17">
        <v>0.05</v>
      </c>
      <c r="C9" s="25">
        <v>4</v>
      </c>
      <c r="D9" s="25"/>
      <c r="E9" s="25"/>
      <c r="F9" s="25">
        <v>4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102" x14ac:dyDescent="0.2">
      <c r="A10" s="14" t="s">
        <v>106</v>
      </c>
      <c r="B10" s="17">
        <v>0.1</v>
      </c>
      <c r="C10" s="25">
        <v>4</v>
      </c>
      <c r="D10" s="25"/>
      <c r="E10" s="25"/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4" x14ac:dyDescent="0.2">
      <c r="A11" s="14" t="s">
        <v>112</v>
      </c>
      <c r="B11" s="17">
        <v>0.1</v>
      </c>
      <c r="C11" s="25">
        <v>3</v>
      </c>
      <c r="D11" s="25"/>
      <c r="E11" s="25"/>
      <c r="F11" s="25">
        <v>3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4" x14ac:dyDescent="0.2">
      <c r="A12" s="14" t="s">
        <v>118</v>
      </c>
      <c r="B12" s="17">
        <v>0.1</v>
      </c>
      <c r="C12" s="25">
        <v>3</v>
      </c>
      <c r="D12" s="25"/>
      <c r="E12" s="25"/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3.5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51" x14ac:dyDescent="0.2">
      <c r="A13" s="14" t="s">
        <v>119</v>
      </c>
      <c r="B13" s="17">
        <v>0.1</v>
      </c>
      <c r="C13" s="25">
        <v>3</v>
      </c>
      <c r="D13" s="25"/>
      <c r="E13" s="25"/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3.5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4" x14ac:dyDescent="0.2">
      <c r="A14" s="14" t="s">
        <v>126</v>
      </c>
      <c r="B14" s="17">
        <v>0.15</v>
      </c>
      <c r="C14" s="25">
        <v>3</v>
      </c>
      <c r="D14" s="25"/>
      <c r="E14" s="25"/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3.5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ht="17" x14ac:dyDescent="0.2">
      <c r="A15" s="14" t="s">
        <v>36</v>
      </c>
      <c r="B15" s="18">
        <f>SUM(B4:B14)</f>
        <v>1</v>
      </c>
      <c r="C15" s="7">
        <f>SUMPRODUCT(C4:C14,$B$4:$B$14)</f>
        <v>3.5999999999999996</v>
      </c>
      <c r="D15" s="7">
        <f t="shared" ref="D15:Q15" si="4">SUMPRODUCT(D4:D14,$B$4:$B$14)</f>
        <v>0</v>
      </c>
      <c r="E15" s="7">
        <f t="shared" si="4"/>
        <v>0</v>
      </c>
      <c r="F15" s="7">
        <f t="shared" si="4"/>
        <v>4.0999999999999996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66</v>
      </c>
      <c r="B16" s="23"/>
      <c r="C16" s="23">
        <f>C15/5*20</f>
        <v>14.399999999999999</v>
      </c>
      <c r="D16" s="23">
        <f t="shared" ref="D16:Q16" si="5">D15/5*20</f>
        <v>0</v>
      </c>
      <c r="E16" s="23">
        <f t="shared" si="5"/>
        <v>0</v>
      </c>
      <c r="F16" s="23">
        <f t="shared" si="5"/>
        <v>16.399999999999999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Diogo Fernando Cabral Do Espírito Santo</cp:lastModifiedBy>
  <cp:revision/>
  <dcterms:created xsi:type="dcterms:W3CDTF">2021-10-23T17:18:59Z</dcterms:created>
  <dcterms:modified xsi:type="dcterms:W3CDTF">2024-01-02T23:11:50Z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