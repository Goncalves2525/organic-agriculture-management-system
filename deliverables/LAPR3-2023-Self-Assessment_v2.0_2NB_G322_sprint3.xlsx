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ulo\Desktop\lapr3-2023-2024-group322_main\deliverables\"/>
    </mc:Choice>
  </mc:AlternateContent>
  <xr:revisionPtr revIDLastSave="0" documentId="13_ncr:1_{AF3DA992-7437-4E83-A093-EC3DCA5B2276}" xr6:coauthVersionLast="47" xr6:coauthVersionMax="47" xr10:uidLastSave="{00000000-0000-0000-0000-000000000000}"/>
  <bookViews>
    <workbookView xWindow="1097" yWindow="1097" windowWidth="24686" windowHeight="13054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Q16" i="10" s="1"/>
  <c r="P15" i="10"/>
  <c r="P16" i="10" s="1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 s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<sst xmlns="http://schemas.openxmlformats.org/spreadsheetml/2006/main" count="275" uniqueCount="128">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</sst>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S11" sqref="S11"/>
    </sheetView>
  </sheetViews>
  <sheetFormatPr defaultColWidth="11" defaultRowHeight="15.9" x14ac:dyDescent="0.45"/>
  <cols>
    <col min="2" max="2" width="5.640625" bestFit="1" customWidth="1"/>
    <col min="3" max="3" width="10" bestFit="1" customWidth="1"/>
    <col min="4" max="19" width="7.85546875" customWidth="1"/>
    <col min="20" max="20" width="8" customWidth="1"/>
  </cols>
  <sheetData>
    <row r="1" spans="1:20" ht="20.6" x14ac:dyDescent="0.45">
      <c r="A1" s="24" t="s">
        <v>127</v>
      </c>
      <c r="B1" s="1"/>
      <c r="C1" s="1"/>
    </row>
    <row r="2" spans="1:20" x14ac:dyDescent="0.45">
      <c r="A2" s="34" t="s">
        <v>0</v>
      </c>
      <c r="B2" s="1"/>
      <c r="C2" s="1"/>
    </row>
    <row r="3" spans="1:20" x14ac:dyDescent="0.45">
      <c r="B3" s="1"/>
      <c r="C3" s="1"/>
    </row>
    <row r="4" spans="1:20" x14ac:dyDescent="0.45">
      <c r="A4" s="2" t="s">
        <v>1</v>
      </c>
      <c r="B4" s="6">
        <v>322</v>
      </c>
      <c r="C4" s="1" t="s">
        <v>2</v>
      </c>
    </row>
    <row r="6" spans="1:20" x14ac:dyDescent="0.45">
      <c r="A6" s="4" t="s">
        <v>3</v>
      </c>
    </row>
    <row r="7" spans="1:20" ht="16.3" thickBot="1" x14ac:dyDescent="0.5"/>
    <row r="8" spans="1:20" ht="16" customHeight="1" thickBot="1" x14ac:dyDescent="0.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6.3" thickBot="1" x14ac:dyDescent="0.5">
      <c r="B10" s="62" t="s">
        <v>6</v>
      </c>
      <c r="C10" s="37">
        <v>1212039</v>
      </c>
      <c r="D10" s="36">
        <v>4</v>
      </c>
      <c r="E10" s="38">
        <v>4</v>
      </c>
      <c r="F10" s="39">
        <v>5</v>
      </c>
      <c r="G10" s="39">
        <v>5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4.5</v>
      </c>
    </row>
    <row r="11" spans="1:20" ht="16.3" thickBot="1" x14ac:dyDescent="0.5">
      <c r="B11" s="63"/>
      <c r="C11" s="8">
        <v>1212044</v>
      </c>
      <c r="D11" s="9">
        <v>4</v>
      </c>
      <c r="E11" s="36">
        <v>3</v>
      </c>
      <c r="F11" s="35">
        <v>5</v>
      </c>
      <c r="G11" s="8">
        <v>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4.25</v>
      </c>
    </row>
    <row r="12" spans="1:20" ht="16.3" thickBot="1" x14ac:dyDescent="0.5">
      <c r="B12" s="63"/>
      <c r="C12" s="8">
        <v>1212047</v>
      </c>
      <c r="D12" s="8">
        <v>4</v>
      </c>
      <c r="E12" s="9">
        <v>3</v>
      </c>
      <c r="F12" s="36">
        <v>4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</v>
      </c>
    </row>
    <row r="13" spans="1:20" ht="16.3" thickBot="1" x14ac:dyDescent="0.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4.25</v>
      </c>
    </row>
    <row r="14" spans="1:20" ht="16.3" thickBot="1" x14ac:dyDescent="0.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6.3" thickBot="1" x14ac:dyDescent="0.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6.3" thickBot="1" x14ac:dyDescent="0.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6.3" thickBot="1" x14ac:dyDescent="0.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6.3" thickBot="1" x14ac:dyDescent="0.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6.3" thickBot="1" x14ac:dyDescent="0.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6.3" thickBot="1" x14ac:dyDescent="0.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6.3" thickBot="1" x14ac:dyDescent="0.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6.3" thickBot="1" x14ac:dyDescent="0.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6.3" thickBot="1" x14ac:dyDescent="0.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6.3" thickBot="1" x14ac:dyDescent="0.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6.3" thickBot="1" x14ac:dyDescent="0.5">
      <c r="B25" s="1"/>
      <c r="C25" s="45" t="s">
        <v>5</v>
      </c>
      <c r="D25" s="46">
        <f t="shared" ref="D25:R25" si="1">IFERROR(AVERAGE(D10:D24),0)</f>
        <v>4</v>
      </c>
      <c r="E25" s="46">
        <f t="shared" si="1"/>
        <v>3.5</v>
      </c>
      <c r="F25" s="46">
        <f t="shared" si="1"/>
        <v>4.75</v>
      </c>
      <c r="G25" s="46">
        <f t="shared" si="1"/>
        <v>4.75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45">
      <c r="A27" s="4" t="s">
        <v>7</v>
      </c>
    </row>
    <row r="28" spans="1:19" x14ac:dyDescent="0.45">
      <c r="A28" t="s">
        <v>8</v>
      </c>
    </row>
    <row r="29" spans="1:19" x14ac:dyDescent="0.45">
      <c r="A29" s="3" t="s">
        <v>9</v>
      </c>
    </row>
    <row r="30" spans="1:19" x14ac:dyDescent="0.45">
      <c r="A30" t="s">
        <v>10</v>
      </c>
    </row>
    <row r="31" spans="1:19" x14ac:dyDescent="0.45">
      <c r="A31">
        <v>0</v>
      </c>
      <c r="B31" t="s">
        <v>11</v>
      </c>
    </row>
    <row r="32" spans="1:19" x14ac:dyDescent="0.45">
      <c r="A32">
        <v>1</v>
      </c>
      <c r="B32" t="s">
        <v>12</v>
      </c>
    </row>
    <row r="33" spans="1:2" x14ac:dyDescent="0.45">
      <c r="A33">
        <v>2</v>
      </c>
      <c r="B33" t="s">
        <v>13</v>
      </c>
    </row>
    <row r="34" spans="1:2" x14ac:dyDescent="0.45">
      <c r="A34">
        <v>3</v>
      </c>
      <c r="B34" t="s">
        <v>14</v>
      </c>
    </row>
    <row r="35" spans="1:2" x14ac:dyDescent="0.45">
      <c r="A35">
        <v>4</v>
      </c>
      <c r="B35" t="s">
        <v>15</v>
      </c>
    </row>
    <row r="36" spans="1:2" x14ac:dyDescent="0.45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D8" sqref="D8"/>
    </sheetView>
  </sheetViews>
  <sheetFormatPr defaultColWidth="20.140625" defaultRowHeight="15.9" x14ac:dyDescent="0.45"/>
  <cols>
    <col min="1" max="1" width="11.140625" bestFit="1" customWidth="1"/>
    <col min="2" max="2" width="18" bestFit="1" customWidth="1"/>
    <col min="4" max="4" width="22.5" customWidth="1"/>
    <col min="5" max="10" width="27.5" customWidth="1"/>
  </cols>
  <sheetData>
    <row r="1" spans="1:10" ht="20.6" x14ac:dyDescent="0.55000000000000004">
      <c r="A1" s="30" t="s">
        <v>17</v>
      </c>
    </row>
    <row r="2" spans="1:10" ht="16.3" thickBot="1" x14ac:dyDescent="0.5"/>
    <row r="3" spans="1:10" x14ac:dyDescent="0.45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75" x14ac:dyDescent="0.45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48" thickBot="1" x14ac:dyDescent="0.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47.6" x14ac:dyDescent="0.45">
      <c r="A6" s="14">
        <v>10</v>
      </c>
      <c r="B6" s="29">
        <v>1221720</v>
      </c>
      <c r="C6" s="29">
        <v>4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47.6" x14ac:dyDescent="0.45">
      <c r="A7" s="14">
        <v>11</v>
      </c>
      <c r="B7" s="29">
        <v>1221720</v>
      </c>
      <c r="C7" s="29">
        <v>4</v>
      </c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47.6" x14ac:dyDescent="0.45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47.6" x14ac:dyDescent="0.45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47.6" x14ac:dyDescent="0.45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47.6" x14ac:dyDescent="0.45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47.6" x14ac:dyDescent="0.45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47.6" x14ac:dyDescent="0.45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47.6" x14ac:dyDescent="0.45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47.6" x14ac:dyDescent="0.45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47.6" x14ac:dyDescent="0.45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47.6" x14ac:dyDescent="0.45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47.6" x14ac:dyDescent="0.45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47.6" x14ac:dyDescent="0.45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47.6" x14ac:dyDescent="0.45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47.6" x14ac:dyDescent="0.45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47.6" x14ac:dyDescent="0.45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47.6" x14ac:dyDescent="0.45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47.6" x14ac:dyDescent="0.45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48" thickBot="1" x14ac:dyDescent="0.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3" workbookViewId="0">
      <selection activeCell="D8" sqref="D8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5546875" style="1" bestFit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3" thickBot="1" x14ac:dyDescent="0.5"/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3.45" x14ac:dyDescent="0.45">
      <c r="A4" s="14" t="s">
        <v>40</v>
      </c>
      <c r="B4" s="17">
        <v>0.1</v>
      </c>
      <c r="C4" s="25">
        <v>3</v>
      </c>
      <c r="D4" s="25">
        <v>4</v>
      </c>
      <c r="E4" s="25">
        <v>5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1" x14ac:dyDescent="0.45">
      <c r="A5" s="14" t="s">
        <v>47</v>
      </c>
      <c r="B5" s="17">
        <v>0.2</v>
      </c>
      <c r="C5" s="25">
        <v>3</v>
      </c>
      <c r="D5" s="25">
        <v>3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3.5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79.3" x14ac:dyDescent="0.45">
      <c r="A6" s="14" t="s">
        <v>54</v>
      </c>
      <c r="B6" s="17">
        <v>0.5</v>
      </c>
      <c r="C6" s="25">
        <v>4</v>
      </c>
      <c r="D6" s="25">
        <v>3</v>
      </c>
      <c r="E6" s="25">
        <v>3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3.5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79.3" x14ac:dyDescent="0.45">
      <c r="A7" s="14" t="s">
        <v>60</v>
      </c>
      <c r="B7" s="17">
        <v>0.2</v>
      </c>
      <c r="C7" s="25">
        <v>3</v>
      </c>
      <c r="D7" s="25">
        <v>4</v>
      </c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3.75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x14ac:dyDescent="0.45">
      <c r="A8" s="14" t="s">
        <v>36</v>
      </c>
      <c r="B8" s="18">
        <f>SUM(B4:B7)</f>
        <v>1</v>
      </c>
      <c r="C8" s="7">
        <f t="shared" ref="C8:Q8" si="1">SUMPRODUCT(C4:C7,$B$4:$B$7)</f>
        <v>3.5000000000000004</v>
      </c>
      <c r="D8" s="7">
        <f t="shared" si="1"/>
        <v>3.3</v>
      </c>
      <c r="E8" s="7">
        <f t="shared" si="1"/>
        <v>3.5999999999999996</v>
      </c>
      <c r="F8" s="7">
        <f t="shared" si="1"/>
        <v>4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3" thickBot="1" x14ac:dyDescent="0.5">
      <c r="A9" s="22" t="s">
        <v>66</v>
      </c>
      <c r="B9" s="23"/>
      <c r="C9" s="23">
        <f>C8/5*20</f>
        <v>14.000000000000002</v>
      </c>
      <c r="D9" s="23">
        <f t="shared" ref="D9:Q9" si="2">D8/5*20</f>
        <v>13.2</v>
      </c>
      <c r="E9" s="23">
        <f t="shared" si="2"/>
        <v>14.399999999999999</v>
      </c>
      <c r="F9" s="23">
        <f t="shared" si="2"/>
        <v>16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4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49"/>
  <sheetViews>
    <sheetView tabSelected="1" topLeftCell="A31" workbookViewId="0">
      <selection activeCell="K44" sqref="K44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4" width="20.640625" style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45">
      <c r="A4" s="14" t="s">
        <v>68</v>
      </c>
      <c r="B4" s="17">
        <v>0.1</v>
      </c>
      <c r="C4" s="25">
        <v>4</v>
      </c>
      <c r="D4" s="25">
        <v>5</v>
      </c>
      <c r="E4" s="25">
        <v>5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4.5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45">
      <c r="A5" s="14" t="s">
        <v>75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47.6" x14ac:dyDescent="0.45">
      <c r="A6" s="14" t="s">
        <v>82</v>
      </c>
      <c r="B6" s="17">
        <v>0.05</v>
      </c>
      <c r="C6" s="25">
        <v>5</v>
      </c>
      <c r="D6" s="25">
        <v>5</v>
      </c>
      <c r="E6" s="25">
        <v>5</v>
      </c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47.6" x14ac:dyDescent="0.45">
      <c r="A7" s="14" t="s">
        <v>89</v>
      </c>
      <c r="B7" s="17">
        <v>0.05</v>
      </c>
      <c r="C7" s="25">
        <v>4</v>
      </c>
      <c r="D7" s="25">
        <v>5</v>
      </c>
      <c r="E7" s="25">
        <v>5</v>
      </c>
      <c r="F7" s="25">
        <v>5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4.75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47.6" x14ac:dyDescent="0.45">
      <c r="A8" s="14" t="s">
        <v>95</v>
      </c>
      <c r="B8" s="17">
        <v>0.1</v>
      </c>
      <c r="C8" s="25">
        <v>4</v>
      </c>
      <c r="D8" s="25">
        <v>4</v>
      </c>
      <c r="E8" s="25">
        <v>5</v>
      </c>
      <c r="F8" s="25">
        <v>5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4.5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3.45" x14ac:dyDescent="0.45">
      <c r="A9" s="14" t="s">
        <v>101</v>
      </c>
      <c r="B9" s="17">
        <v>0.05</v>
      </c>
      <c r="C9" s="25">
        <v>4</v>
      </c>
      <c r="D9" s="25">
        <v>4</v>
      </c>
      <c r="E9" s="25">
        <v>4</v>
      </c>
      <c r="F9" s="25">
        <v>4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79.3" x14ac:dyDescent="0.45">
      <c r="A10" s="14" t="s">
        <v>106</v>
      </c>
      <c r="B10" s="17">
        <v>0.1</v>
      </c>
      <c r="C10" s="25">
        <v>4</v>
      </c>
      <c r="D10" s="25">
        <v>5</v>
      </c>
      <c r="E10" s="25">
        <v>5</v>
      </c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4.5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1.75" x14ac:dyDescent="0.45">
      <c r="A11" s="14" t="s">
        <v>112</v>
      </c>
      <c r="B11" s="17">
        <v>0.1</v>
      </c>
      <c r="C11" s="25">
        <v>3</v>
      </c>
      <c r="D11" s="25">
        <v>3</v>
      </c>
      <c r="E11" s="25">
        <v>3</v>
      </c>
      <c r="F11" s="25">
        <v>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1.75" x14ac:dyDescent="0.45">
      <c r="A12" s="14" t="s">
        <v>118</v>
      </c>
      <c r="B12" s="17">
        <v>0.1</v>
      </c>
      <c r="C12" s="25">
        <v>3</v>
      </c>
      <c r="D12" s="25">
        <v>4</v>
      </c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3.75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31.75" x14ac:dyDescent="0.45">
      <c r="A13" s="14" t="s">
        <v>119</v>
      </c>
      <c r="B13" s="17">
        <v>0.1</v>
      </c>
      <c r="C13" s="25">
        <v>3</v>
      </c>
      <c r="D13" s="25">
        <v>4</v>
      </c>
      <c r="E13" s="25">
        <v>4</v>
      </c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3.75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1.75" x14ac:dyDescent="0.45">
      <c r="A14" s="14" t="s">
        <v>126</v>
      </c>
      <c r="B14" s="17">
        <v>0.15</v>
      </c>
      <c r="C14" s="25">
        <v>3</v>
      </c>
      <c r="D14" s="25">
        <v>4</v>
      </c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3.75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x14ac:dyDescent="0.45">
      <c r="A15" s="14" t="s">
        <v>36</v>
      </c>
      <c r="B15" s="18">
        <f>SUM(B4:B14)</f>
        <v>1</v>
      </c>
      <c r="C15" s="7">
        <f>SUMPRODUCT(C4:C14,$B$4:$B$14)</f>
        <v>3.5999999999999996</v>
      </c>
      <c r="D15" s="7">
        <f t="shared" ref="D15:Q15" si="4">SUMPRODUCT(D4:D14,$B$4:$B$14)</f>
        <v>4.1999999999999993</v>
      </c>
      <c r="E15" s="7">
        <f t="shared" si="4"/>
        <v>4.3</v>
      </c>
      <c r="F15" s="7">
        <f t="shared" si="4"/>
        <v>4.0999999999999996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45">
      <c r="A16" s="22" t="s">
        <v>66</v>
      </c>
      <c r="B16" s="23"/>
      <c r="C16" s="23">
        <f>C15/5*20</f>
        <v>14.399999999999999</v>
      </c>
      <c r="D16" s="23">
        <f t="shared" ref="D16:Q16" si="5">D15/5*20</f>
        <v>16.799999999999997</v>
      </c>
      <c r="E16" s="23">
        <f t="shared" si="5"/>
        <v>17.2</v>
      </c>
      <c r="F16" s="23">
        <f t="shared" si="5"/>
        <v>16.399999999999999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45">
      <c r="A17" s="5"/>
    </row>
    <row r="49" spans="4:4" x14ac:dyDescent="0.45">
      <c r="D49" s="1">
        <v>5</v>
      </c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Paulo Filipe Sousa Moreira</cp:lastModifiedBy>
  <cp:revision/>
  <dcterms:created xsi:type="dcterms:W3CDTF">2021-10-23T17:18:59Z</dcterms:created>
  <dcterms:modified xsi:type="dcterms:W3CDTF">2024-01-03T21:21:13Z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