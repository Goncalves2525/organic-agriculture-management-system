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ulo\Desktop\"/>
    </mc:Choice>
  </mc:AlternateContent>
  <xr:revisionPtr revIDLastSave="0" documentId="13_ncr:1_{4D4997D1-205B-468C-B25C-606A4854CAFF}" xr6:coauthVersionLast="47" xr6:coauthVersionMax="47" xr10:uidLastSave="{00000000-0000-0000-0000-000000000000}"/>
  <bookViews>
    <workbookView xWindow="-86" yWindow="0" windowWidth="16629" windowHeight="17880" activeTab="2" xr2:uid="{A213596C-2D60-4BE9-81B7-F969DD5C8701}"/>
  </bookViews>
  <sheets>
    <sheet name="USFA5" sheetId="1" r:id="rId1"/>
    <sheet name="USFA6" sheetId="2" r:id="rId2"/>
    <sheet name="USFA7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3" l="1"/>
  <c r="H15" i="3"/>
  <c r="H16" i="3"/>
  <c r="H17" i="3"/>
  <c r="H18" i="3"/>
  <c r="H14" i="3"/>
  <c r="G14" i="3"/>
  <c r="G18" i="3"/>
  <c r="G17" i="3"/>
  <c r="G16" i="3"/>
  <c r="G15" i="3"/>
  <c r="B45" i="2"/>
  <c r="B43" i="2"/>
  <c r="B36" i="2"/>
  <c r="B34" i="2"/>
  <c r="B27" i="2"/>
  <c r="B25" i="2"/>
  <c r="I16" i="2"/>
  <c r="J54" i="1"/>
  <c r="J55" i="1"/>
  <c r="J56" i="1"/>
  <c r="J57" i="1"/>
  <c r="J79" i="1"/>
  <c r="J80" i="1"/>
  <c r="J78" i="1"/>
  <c r="J70" i="1"/>
  <c r="J68" i="1"/>
  <c r="J71" i="1" s="1"/>
  <c r="J69" i="1"/>
  <c r="E60" i="1"/>
  <c r="W34" i="1"/>
  <c r="W26" i="1"/>
  <c r="L13" i="3" l="1"/>
  <c r="J81" i="1"/>
</calcChain>
</file>

<file path=xl/sharedStrings.xml><?xml version="1.0" encoding="utf-8"?>
<sst xmlns="http://schemas.openxmlformats.org/spreadsheetml/2006/main" count="119" uniqueCount="60">
  <si>
    <t>Zona B:</t>
  </si>
  <si>
    <t xml:space="preserve">Planta: </t>
  </si>
  <si>
    <t>Materiais constituintes das paredes exteriores:</t>
  </si>
  <si>
    <t>Materiais constituintes das paredes interiores:</t>
  </si>
  <si>
    <t>Nome</t>
  </si>
  <si>
    <t>Resistência Térmica</t>
  </si>
  <si>
    <t xml:space="preserve">Tijolo térmico </t>
  </si>
  <si>
    <t>Fibranxps Maestro 100mm</t>
  </si>
  <si>
    <t>Placa de gesso knauf 9,5mm</t>
  </si>
  <si>
    <t>Unidade</t>
  </si>
  <si>
    <t>m2 K/W</t>
  </si>
  <si>
    <t>Lã de rocha 80mm</t>
  </si>
  <si>
    <t>Resistencia térmica de uma parede exterior:</t>
  </si>
  <si>
    <t>R = Expessura / Condutividade térmica</t>
  </si>
  <si>
    <t>Temos então:</t>
  </si>
  <si>
    <t>R = 0,038 / 1,5</t>
  </si>
  <si>
    <t>=</t>
  </si>
  <si>
    <t>Expessura</t>
  </si>
  <si>
    <t>m</t>
  </si>
  <si>
    <t>Condutivade térmica</t>
  </si>
  <si>
    <t>W/m2K</t>
  </si>
  <si>
    <t>Resistencia térmica de uma parede interior:</t>
  </si>
  <si>
    <t>Se pretendermos somar as resistencias térmicas de todas as paredes da zona B</t>
  </si>
  <si>
    <t>Paredes exteriores</t>
  </si>
  <si>
    <t>Resistência térmica</t>
  </si>
  <si>
    <t>Paredes interiores</t>
  </si>
  <si>
    <t>Porta interior</t>
  </si>
  <si>
    <t>Número</t>
  </si>
  <si>
    <t>Soma</t>
  </si>
  <si>
    <t>Zona C:</t>
  </si>
  <si>
    <t>Se pretendermos somar as resistencias térmicas de todas as paredes da zona C</t>
  </si>
  <si>
    <t>Zona D:</t>
  </si>
  <si>
    <t>Altura: 4m</t>
  </si>
  <si>
    <t>Zona B</t>
  </si>
  <si>
    <t>Temperatura exterior</t>
  </si>
  <si>
    <t>Temperatura interior desejada</t>
  </si>
  <si>
    <t>Diferença</t>
  </si>
  <si>
    <t>Energia necessária:</t>
  </si>
  <si>
    <t>W</t>
  </si>
  <si>
    <t>Resistencia térmica da porta interior é dada pela fórumla:</t>
  </si>
  <si>
    <t>Materiais constituintes do telhado:</t>
  </si>
  <si>
    <t>Painel Sandwish 55mm</t>
  </si>
  <si>
    <t>Materiais constituintes dos portões de acesso exterior:</t>
  </si>
  <si>
    <t>Portão automático seccionado</t>
  </si>
  <si>
    <t>Materiais constituintes das janelas:</t>
  </si>
  <si>
    <t>Zona C</t>
  </si>
  <si>
    <t>Zona D</t>
  </si>
  <si>
    <t>Zona</t>
  </si>
  <si>
    <t>A</t>
  </si>
  <si>
    <t>B</t>
  </si>
  <si>
    <t>C</t>
  </si>
  <si>
    <t>D</t>
  </si>
  <si>
    <t>E</t>
  </si>
  <si>
    <t>Temperatura Desejada</t>
  </si>
  <si>
    <t>Energia a fornecer</t>
  </si>
  <si>
    <t>Medida</t>
  </si>
  <si>
    <t>°C</t>
  </si>
  <si>
    <t>Total de energia a fornecer:</t>
  </si>
  <si>
    <t>Potência a fornecer p/hr</t>
  </si>
  <si>
    <t>Total de potência a fornecer: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</si>
</sst>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0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2" xfId="0" applyBorder="1"/>
    <xf numFmtId="0" fontId="0" fillId="0" borderId="6" xfId="0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left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70" fontId="0" fillId="0" borderId="3" xfId="0" applyNumberFormat="1" applyBorder="1" applyAlignment="1">
      <alignment horizontal="center" vertical="center"/>
    </xf>
    <xf numFmtId="2" fontId="0" fillId="0" borderId="3" xfId="0" applyNumberFormat="1" applyBorder="1" applyAlignment="1">
      <alignment horizontal="center" vertical="center"/>
    </xf>
    <xf numFmtId="2" fontId="0" fillId="0" borderId="0" xfId="0" applyNumberFormat="1"/>
    <xf numFmtId="0" fontId="1" fillId="0" borderId="0" xfId="0" applyFont="1" applyFill="1" applyBorder="1" applyAlignment="1">
      <alignment horizontal="center" vertical="center"/>
    </xf>
    <xf numFmtId="17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359376</xdr:colOff>
      <xdr:row>16</xdr:row>
      <xdr:rowOff>130710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8983F4-2319-085C-0A3F-CAA648F87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622619" cy="309162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10</xdr:col>
      <xdr:colOff>419311</xdr:colOff>
      <xdr:row>47</xdr:row>
      <xdr:rowOff>87215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25A3A5C-D982-3DDA-892E-89C9B35B4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3143" y="3886200"/>
          <a:ext cx="8055639" cy="494224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413811</xdr:colOff>
      <xdr:row>11</xdr:row>
      <xdr:rowOff>76255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4FE76-7158-D852-C845-2C2C505E87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883882" cy="211188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6</xdr:col>
      <xdr:colOff>636965</xdr:colOff>
      <xdr:row>11</xdr:row>
      <xdr:rowOff>53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BAD5C5F-F32F-564D-BA14-BE57045A9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5769579" cy="20356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0F2BB3-7125-47E4-8AE2-EBF43307C7B9}">
  <dimension ref="B20:X81"/>
  <sheetViews>
    <sheetView topLeftCell="L1" workbookViewId="0">
      <selection activeCell="Q27" sqref="Q27:Q29"/>
    </sheetView>
  </sheetViews>
  <sheetFormatPr defaultRowHeight="14.6" x14ac:dyDescent="0.4"/>
  <cols>
    <col min="3" max="3" width="19" customWidth="1"/>
    <col min="8" max="8" width="16.15234375" customWidth="1"/>
    <col min="9" max="9" width="9.23046875" customWidth="1"/>
    <col min="10" max="10" width="17.3828125" customWidth="1"/>
    <col min="15" max="15" width="26.07421875" bestFit="1" customWidth="1"/>
    <col min="16" max="16" width="17.07421875" bestFit="1" customWidth="1"/>
    <col min="17" max="17" width="7.765625" bestFit="1" customWidth="1"/>
  </cols>
  <sheetData>
    <row r="20" spans="2:24" x14ac:dyDescent="0.4">
      <c r="B20" t="s">
        <v>1</v>
      </c>
    </row>
    <row r="24" spans="2:24" x14ac:dyDescent="0.4">
      <c r="O24" s="16" t="s">
        <v>2</v>
      </c>
      <c r="P24" s="16"/>
      <c r="Q24" s="16"/>
    </row>
    <row r="25" spans="2:24" ht="15" thickBot="1" x14ac:dyDescent="0.45"/>
    <row r="26" spans="2:24" ht="15" thickBot="1" x14ac:dyDescent="0.45">
      <c r="O26" s="6" t="s">
        <v>4</v>
      </c>
      <c r="P26" s="8" t="s">
        <v>5</v>
      </c>
      <c r="Q26" s="7" t="s">
        <v>9</v>
      </c>
      <c r="S26" t="s">
        <v>12</v>
      </c>
      <c r="W26">
        <f>P27+P28+P29</f>
        <v>3.165</v>
      </c>
      <c r="X26" s="16"/>
    </row>
    <row r="27" spans="2:24" x14ac:dyDescent="0.4">
      <c r="O27" s="5" t="s">
        <v>6</v>
      </c>
      <c r="P27" s="5">
        <v>0.42</v>
      </c>
      <c r="Q27" s="14" t="s">
        <v>10</v>
      </c>
      <c r="X27" s="16"/>
    </row>
    <row r="28" spans="2:24" x14ac:dyDescent="0.4">
      <c r="O28" s="3" t="s">
        <v>7</v>
      </c>
      <c r="P28" s="3">
        <v>2.7</v>
      </c>
      <c r="Q28" s="15"/>
      <c r="X28" s="2"/>
    </row>
    <row r="29" spans="2:24" x14ac:dyDescent="0.4">
      <c r="O29" s="3" t="s">
        <v>8</v>
      </c>
      <c r="P29" s="3">
        <v>4.4999999999999998E-2</v>
      </c>
      <c r="Q29" s="15"/>
    </row>
    <row r="32" spans="2:24" x14ac:dyDescent="0.4">
      <c r="O32" s="16" t="s">
        <v>3</v>
      </c>
      <c r="P32" s="16"/>
      <c r="Q32" s="16"/>
    </row>
    <row r="33" spans="12:23" ht="15" thickBot="1" x14ac:dyDescent="0.45"/>
    <row r="34" spans="12:23" ht="15" thickBot="1" x14ac:dyDescent="0.45">
      <c r="O34" s="6" t="s">
        <v>4</v>
      </c>
      <c r="P34" s="8" t="s">
        <v>5</v>
      </c>
      <c r="Q34" s="7" t="s">
        <v>9</v>
      </c>
      <c r="S34" t="s">
        <v>21</v>
      </c>
      <c r="W34">
        <f>P35+P36</f>
        <v>2.57</v>
      </c>
    </row>
    <row r="35" spans="12:23" x14ac:dyDescent="0.4">
      <c r="O35" s="5" t="s">
        <v>6</v>
      </c>
      <c r="P35" s="5">
        <v>0.42</v>
      </c>
      <c r="Q35" s="14" t="s">
        <v>10</v>
      </c>
    </row>
    <row r="36" spans="12:23" x14ac:dyDescent="0.4">
      <c r="O36" s="3" t="s">
        <v>11</v>
      </c>
      <c r="P36" s="3">
        <v>2.15</v>
      </c>
      <c r="Q36" s="15"/>
    </row>
    <row r="39" spans="12:23" x14ac:dyDescent="0.4">
      <c r="O39" s="16" t="s">
        <v>40</v>
      </c>
      <c r="P39" s="16"/>
      <c r="Q39" s="16"/>
    </row>
    <row r="40" spans="12:23" ht="15" thickBot="1" x14ac:dyDescent="0.45"/>
    <row r="41" spans="12:23" ht="15" thickBot="1" x14ac:dyDescent="0.45">
      <c r="O41" s="6" t="s">
        <v>4</v>
      </c>
      <c r="P41" s="8" t="s">
        <v>5</v>
      </c>
      <c r="Q41" s="7" t="s">
        <v>9</v>
      </c>
    </row>
    <row r="42" spans="12:23" x14ac:dyDescent="0.4">
      <c r="O42" s="5" t="s">
        <v>41</v>
      </c>
      <c r="P42" s="5">
        <v>0.14000000000000001</v>
      </c>
      <c r="Q42" s="17" t="s">
        <v>10</v>
      </c>
    </row>
    <row r="43" spans="12:23" x14ac:dyDescent="0.4">
      <c r="L43" t="s">
        <v>32</v>
      </c>
    </row>
    <row r="45" spans="12:23" x14ac:dyDescent="0.4">
      <c r="O45" s="16" t="s">
        <v>42</v>
      </c>
      <c r="P45" s="16"/>
      <c r="Q45" s="16"/>
    </row>
    <row r="46" spans="12:23" ht="15" thickBot="1" x14ac:dyDescent="0.45"/>
    <row r="47" spans="12:23" ht="15" thickBot="1" x14ac:dyDescent="0.45">
      <c r="O47" s="6" t="s">
        <v>4</v>
      </c>
      <c r="P47" s="8" t="s">
        <v>5</v>
      </c>
      <c r="Q47" s="7" t="s">
        <v>9</v>
      </c>
    </row>
    <row r="48" spans="12:23" x14ac:dyDescent="0.4">
      <c r="O48" s="5" t="s">
        <v>43</v>
      </c>
      <c r="P48" s="5">
        <v>0.03</v>
      </c>
      <c r="Q48" s="17" t="s">
        <v>10</v>
      </c>
    </row>
    <row r="49" spans="3:17" x14ac:dyDescent="0.4">
      <c r="C49" t="s">
        <v>0</v>
      </c>
    </row>
    <row r="51" spans="3:17" x14ac:dyDescent="0.4">
      <c r="C51" t="s">
        <v>39</v>
      </c>
      <c r="H51" t="s">
        <v>22</v>
      </c>
      <c r="O51" s="16" t="s">
        <v>44</v>
      </c>
      <c r="P51" s="16"/>
      <c r="Q51" s="16"/>
    </row>
    <row r="52" spans="3:17" ht="15" thickBot="1" x14ac:dyDescent="0.45"/>
    <row r="53" spans="3:17" ht="15" thickBot="1" x14ac:dyDescent="0.45">
      <c r="C53" t="s">
        <v>13</v>
      </c>
      <c r="I53" s="3" t="s">
        <v>27</v>
      </c>
      <c r="J53" s="3" t="s">
        <v>24</v>
      </c>
      <c r="O53" s="6" t="s">
        <v>4</v>
      </c>
      <c r="P53" s="8" t="s">
        <v>5</v>
      </c>
      <c r="Q53" s="7" t="s">
        <v>9</v>
      </c>
    </row>
    <row r="54" spans="3:17" x14ac:dyDescent="0.4">
      <c r="H54" s="4" t="s">
        <v>23</v>
      </c>
      <c r="I54" s="4">
        <v>3</v>
      </c>
      <c r="J54" s="4">
        <f>W26*3</f>
        <v>9.495000000000001</v>
      </c>
      <c r="K54" s="1"/>
      <c r="O54" s="5" t="s">
        <v>43</v>
      </c>
      <c r="P54" s="5">
        <v>0.66</v>
      </c>
      <c r="Q54" s="17" t="s">
        <v>10</v>
      </c>
    </row>
    <row r="55" spans="3:17" x14ac:dyDescent="0.4">
      <c r="C55" t="s">
        <v>14</v>
      </c>
      <c r="H55" s="4" t="s">
        <v>25</v>
      </c>
      <c r="I55" s="4">
        <v>1</v>
      </c>
      <c r="J55" s="4">
        <f>W34</f>
        <v>2.57</v>
      </c>
      <c r="K55" s="1"/>
    </row>
    <row r="56" spans="3:17" ht="15" thickBot="1" x14ac:dyDescent="0.45">
      <c r="H56" s="9" t="s">
        <v>26</v>
      </c>
      <c r="I56" s="9">
        <v>1</v>
      </c>
      <c r="J56" s="9">
        <f>E60</f>
        <v>2.5333333333333333E-2</v>
      </c>
      <c r="K56" s="1"/>
    </row>
    <row r="57" spans="3:17" ht="15" thickBot="1" x14ac:dyDescent="0.45">
      <c r="C57" s="4" t="s">
        <v>17</v>
      </c>
      <c r="D57" s="4">
        <v>3.7999999999999999E-2</v>
      </c>
      <c r="E57" s="4" t="s">
        <v>18</v>
      </c>
      <c r="H57" s="10" t="s">
        <v>28</v>
      </c>
      <c r="I57" s="11"/>
      <c r="J57" s="12">
        <f>SUM(J54:J56)</f>
        <v>12.090333333333335</v>
      </c>
    </row>
    <row r="58" spans="3:17" x14ac:dyDescent="0.4">
      <c r="C58" s="4" t="s">
        <v>19</v>
      </c>
      <c r="D58" s="4">
        <v>1.5</v>
      </c>
      <c r="E58" s="4" t="s">
        <v>20</v>
      </c>
    </row>
    <row r="60" spans="3:17" x14ac:dyDescent="0.4">
      <c r="C60" t="s">
        <v>15</v>
      </c>
      <c r="D60" s="1" t="s">
        <v>16</v>
      </c>
      <c r="E60">
        <f>0.038 / 1.5</f>
        <v>2.5333333333333333E-2</v>
      </c>
      <c r="F60" t="s">
        <v>10</v>
      </c>
    </row>
    <row r="63" spans="3:17" x14ac:dyDescent="0.4">
      <c r="C63" t="s">
        <v>29</v>
      </c>
    </row>
    <row r="65" spans="3:10" x14ac:dyDescent="0.4">
      <c r="H65" t="s">
        <v>30</v>
      </c>
    </row>
    <row r="67" spans="3:10" x14ac:dyDescent="0.4">
      <c r="I67" s="3" t="s">
        <v>27</v>
      </c>
      <c r="J67" s="3" t="s">
        <v>24</v>
      </c>
    </row>
    <row r="68" spans="3:10" x14ac:dyDescent="0.4">
      <c r="H68" s="4" t="s">
        <v>23</v>
      </c>
      <c r="I68" s="4">
        <v>1</v>
      </c>
      <c r="J68" s="4">
        <f>I68*W26</f>
        <v>3.165</v>
      </c>
    </row>
    <row r="69" spans="3:10" x14ac:dyDescent="0.4">
      <c r="H69" s="4" t="s">
        <v>25</v>
      </c>
      <c r="I69" s="4">
        <v>3</v>
      </c>
      <c r="J69" s="4">
        <f>3*W34</f>
        <v>7.7099999999999991</v>
      </c>
    </row>
    <row r="70" spans="3:10" ht="15" thickBot="1" x14ac:dyDescent="0.45">
      <c r="H70" s="9" t="s">
        <v>26</v>
      </c>
      <c r="I70" s="9">
        <v>1</v>
      </c>
      <c r="J70" s="9">
        <f>I70*E60</f>
        <v>2.5333333333333333E-2</v>
      </c>
    </row>
    <row r="71" spans="3:10" ht="15" thickBot="1" x14ac:dyDescent="0.45">
      <c r="H71" s="10" t="s">
        <v>28</v>
      </c>
      <c r="I71" s="11"/>
      <c r="J71" s="12">
        <f>SUM(J68:J70)</f>
        <v>10.900333333333334</v>
      </c>
    </row>
    <row r="73" spans="3:10" x14ac:dyDescent="0.4">
      <c r="C73" t="s">
        <v>31</v>
      </c>
    </row>
    <row r="75" spans="3:10" x14ac:dyDescent="0.4">
      <c r="H75" t="s">
        <v>30</v>
      </c>
    </row>
    <row r="77" spans="3:10" x14ac:dyDescent="0.4">
      <c r="I77" s="3" t="s">
        <v>27</v>
      </c>
      <c r="J77" s="3" t="s">
        <v>24</v>
      </c>
    </row>
    <row r="78" spans="3:10" x14ac:dyDescent="0.4">
      <c r="H78" s="4" t="s">
        <v>23</v>
      </c>
      <c r="I78" s="4">
        <v>2</v>
      </c>
      <c r="J78" s="4">
        <f>I78*W26</f>
        <v>6.33</v>
      </c>
    </row>
    <row r="79" spans="3:10" x14ac:dyDescent="0.4">
      <c r="H79" s="4" t="s">
        <v>25</v>
      </c>
      <c r="I79" s="4">
        <v>2</v>
      </c>
      <c r="J79" s="4">
        <f>3*W34</f>
        <v>7.7099999999999991</v>
      </c>
    </row>
    <row r="80" spans="3:10" ht="15" thickBot="1" x14ac:dyDescent="0.45">
      <c r="H80" s="9" t="s">
        <v>26</v>
      </c>
      <c r="I80" s="9">
        <v>1</v>
      </c>
      <c r="J80" s="9">
        <f>I80*E60</f>
        <v>2.5333333333333333E-2</v>
      </c>
    </row>
    <row r="81" spans="8:10" ht="15" thickBot="1" x14ac:dyDescent="0.45">
      <c r="H81" s="10" t="s">
        <v>28</v>
      </c>
      <c r="I81" s="11"/>
      <c r="J81" s="12">
        <f>SUM(J78:J80)</f>
        <v>14.065333333333333</v>
      </c>
    </row>
  </sheetData>
  <mergeCells count="8">
    <mergeCell ref="O39:Q39"/>
    <mergeCell ref="O45:Q45"/>
    <mergeCell ref="O51:Q51"/>
    <mergeCell ref="Q27:Q29"/>
    <mergeCell ref="X26:X27"/>
    <mergeCell ref="Q35:Q36"/>
    <mergeCell ref="O24:Q24"/>
    <mergeCell ref="O32:Q32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00E8B-6BC9-42EA-BCC5-F35C452F6A92}">
  <dimension ref="A14:J45"/>
  <sheetViews>
    <sheetView topLeftCell="A13" workbookViewId="0">
      <selection activeCell="G34" sqref="G34"/>
    </sheetView>
  </sheetViews>
  <sheetFormatPr defaultRowHeight="14.6" x14ac:dyDescent="0.4"/>
  <cols>
    <col min="1" max="1" width="24" bestFit="1" customWidth="1"/>
    <col min="3" max="3" width="7.765625" bestFit="1" customWidth="1"/>
    <col min="7" max="7" width="8.61328125" customWidth="1"/>
  </cols>
  <sheetData>
    <row r="14" spans="1:10" x14ac:dyDescent="0.4">
      <c r="A14" s="16" t="s">
        <v>2</v>
      </c>
      <c r="B14" s="16"/>
      <c r="C14" s="16"/>
    </row>
    <row r="15" spans="1:10" ht="15" thickBot="1" x14ac:dyDescent="0.45"/>
    <row r="16" spans="1:10" ht="15" thickBot="1" x14ac:dyDescent="0.45">
      <c r="A16" s="6" t="s">
        <v>4</v>
      </c>
      <c r="B16" s="8" t="s">
        <v>5</v>
      </c>
      <c r="C16" s="7" t="s">
        <v>9</v>
      </c>
      <c r="E16" t="s">
        <v>12</v>
      </c>
      <c r="I16" s="25">
        <f>B17+B18+B19</f>
        <v>3.165</v>
      </c>
      <c r="J16" t="s">
        <v>10</v>
      </c>
    </row>
    <row r="17" spans="1:3" x14ac:dyDescent="0.4">
      <c r="A17" s="5" t="s">
        <v>6</v>
      </c>
      <c r="B17" s="5">
        <v>0.42</v>
      </c>
      <c r="C17" s="14" t="s">
        <v>10</v>
      </c>
    </row>
    <row r="18" spans="1:3" x14ac:dyDescent="0.4">
      <c r="A18" s="3" t="s">
        <v>7</v>
      </c>
      <c r="B18" s="3">
        <v>2.7</v>
      </c>
      <c r="C18" s="15"/>
    </row>
    <row r="19" spans="1:3" x14ac:dyDescent="0.4">
      <c r="A19" s="3" t="s">
        <v>8</v>
      </c>
      <c r="B19" s="3">
        <v>4.4999999999999998E-2</v>
      </c>
      <c r="C19" s="15"/>
    </row>
    <row r="21" spans="1:3" x14ac:dyDescent="0.4">
      <c r="A21" s="16" t="s">
        <v>33</v>
      </c>
      <c r="B21" s="16"/>
    </row>
    <row r="23" spans="1:3" x14ac:dyDescent="0.4">
      <c r="A23" s="3" t="s">
        <v>34</v>
      </c>
      <c r="B23" s="3">
        <v>20</v>
      </c>
    </row>
    <row r="24" spans="1:3" x14ac:dyDescent="0.4">
      <c r="A24" s="3" t="s">
        <v>35</v>
      </c>
      <c r="B24" s="3">
        <v>-5</v>
      </c>
    </row>
    <row r="25" spans="1:3" x14ac:dyDescent="0.4">
      <c r="A25" s="3" t="s">
        <v>36</v>
      </c>
      <c r="B25" s="3">
        <f>B23-B24</f>
        <v>25</v>
      </c>
    </row>
    <row r="27" spans="1:3" x14ac:dyDescent="0.4">
      <c r="A27" t="s">
        <v>37</v>
      </c>
      <c r="B27" s="25">
        <f>B25/I16</f>
        <v>7.8988941548183256</v>
      </c>
      <c r="C27" t="s">
        <v>38</v>
      </c>
    </row>
    <row r="30" spans="1:3" x14ac:dyDescent="0.4">
      <c r="A30" s="16" t="s">
        <v>45</v>
      </c>
      <c r="B30" s="16"/>
    </row>
    <row r="32" spans="1:3" x14ac:dyDescent="0.4">
      <c r="A32" s="3" t="s">
        <v>34</v>
      </c>
      <c r="B32" s="3">
        <v>20</v>
      </c>
    </row>
    <row r="33" spans="1:3" x14ac:dyDescent="0.4">
      <c r="A33" s="3" t="s">
        <v>35</v>
      </c>
      <c r="B33" s="3">
        <v>0</v>
      </c>
    </row>
    <row r="34" spans="1:3" x14ac:dyDescent="0.4">
      <c r="A34" s="3" t="s">
        <v>36</v>
      </c>
      <c r="B34" s="3">
        <f>B32-B33</f>
        <v>20</v>
      </c>
    </row>
    <row r="36" spans="1:3" x14ac:dyDescent="0.4">
      <c r="A36" t="s">
        <v>37</v>
      </c>
      <c r="B36" s="25">
        <f>B34/I16</f>
        <v>6.3191153238546605</v>
      </c>
      <c r="C36" t="s">
        <v>38</v>
      </c>
    </row>
    <row r="39" spans="1:3" x14ac:dyDescent="0.4">
      <c r="A39" s="16" t="s">
        <v>46</v>
      </c>
      <c r="B39" s="16"/>
    </row>
    <row r="41" spans="1:3" x14ac:dyDescent="0.4">
      <c r="A41" s="3" t="s">
        <v>34</v>
      </c>
      <c r="B41" s="3">
        <v>20</v>
      </c>
    </row>
    <row r="42" spans="1:3" x14ac:dyDescent="0.4">
      <c r="A42" s="3" t="s">
        <v>35</v>
      </c>
      <c r="B42" s="3">
        <v>7</v>
      </c>
    </row>
    <row r="43" spans="1:3" x14ac:dyDescent="0.4">
      <c r="A43" s="3" t="s">
        <v>36</v>
      </c>
      <c r="B43" s="3">
        <f>B41-B42</f>
        <v>13</v>
      </c>
    </row>
    <row r="45" spans="1:3" x14ac:dyDescent="0.4">
      <c r="A45" t="s">
        <v>37</v>
      </c>
      <c r="B45" s="25">
        <f>B43/I16</f>
        <v>4.1074249605055293</v>
      </c>
      <c r="C45" t="s">
        <v>38</v>
      </c>
    </row>
  </sheetData>
  <mergeCells count="5">
    <mergeCell ref="A14:C14"/>
    <mergeCell ref="C17:C19"/>
    <mergeCell ref="A21:B21"/>
    <mergeCell ref="A30:B30"/>
    <mergeCell ref="A39:B3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CF22-E666-40F2-A50B-028F403AB0B5}">
  <dimension ref="B12:M21"/>
  <sheetViews>
    <sheetView tabSelected="1" workbookViewId="0">
      <selection activeCell="C33" sqref="C33"/>
    </sheetView>
  </sheetViews>
  <sheetFormatPr defaultRowHeight="14.6" x14ac:dyDescent="0.4"/>
  <cols>
    <col min="1" max="1" width="10.07421875" customWidth="1"/>
    <col min="3" max="3" width="19.921875" bestFit="1" customWidth="1"/>
    <col min="4" max="4" width="7.23046875" bestFit="1" customWidth="1"/>
    <col min="5" max="5" width="18.84375" bestFit="1" customWidth="1"/>
    <col min="6" max="6" width="7.23046875" bestFit="1" customWidth="1"/>
    <col min="7" max="7" width="18.84375" bestFit="1" customWidth="1"/>
    <col min="8" max="8" width="20.61328125" bestFit="1" customWidth="1"/>
  </cols>
  <sheetData>
    <row r="12" spans="2:13" ht="15" thickBot="1" x14ac:dyDescent="0.45"/>
    <row r="13" spans="2:13" ht="15" thickBot="1" x14ac:dyDescent="0.45">
      <c r="B13" s="18" t="s">
        <v>47</v>
      </c>
      <c r="C13" s="11" t="s">
        <v>53</v>
      </c>
      <c r="D13" s="11" t="s">
        <v>55</v>
      </c>
      <c r="E13" s="11" t="s">
        <v>34</v>
      </c>
      <c r="F13" s="11" t="s">
        <v>55</v>
      </c>
      <c r="G13" s="11" t="s">
        <v>54</v>
      </c>
      <c r="H13" s="11" t="s">
        <v>58</v>
      </c>
      <c r="J13" s="26" t="s">
        <v>57</v>
      </c>
      <c r="L13" s="25">
        <f>SUM(G14:G18)</f>
        <v>21.484992101105846</v>
      </c>
      <c r="M13" t="s">
        <v>38</v>
      </c>
    </row>
    <row r="14" spans="2:13" x14ac:dyDescent="0.4">
      <c r="B14" s="13" t="s">
        <v>48</v>
      </c>
      <c r="C14" s="13">
        <v>15</v>
      </c>
      <c r="D14" s="21" t="s">
        <v>56</v>
      </c>
      <c r="E14" s="21">
        <v>20</v>
      </c>
      <c r="F14" s="21" t="s">
        <v>56</v>
      </c>
      <c r="G14" s="24">
        <f>(E14-C14)/G21</f>
        <v>1.5797788309636651</v>
      </c>
      <c r="H14" s="23">
        <f>G14/3600</f>
        <v>4.3882745304546251E-4</v>
      </c>
      <c r="J14" s="26" t="s">
        <v>59</v>
      </c>
      <c r="L14" s="27">
        <f>SUM(H14:H18)</f>
        <v>5.9680533614182912E-3</v>
      </c>
      <c r="M14" t="s">
        <v>38</v>
      </c>
    </row>
    <row r="15" spans="2:13" x14ac:dyDescent="0.4">
      <c r="B15" s="4" t="s">
        <v>49</v>
      </c>
      <c r="C15" s="19">
        <v>-5</v>
      </c>
      <c r="D15" s="22"/>
      <c r="E15" s="22"/>
      <c r="F15" s="22"/>
      <c r="G15" s="24">
        <f>(E14-C15)/G21</f>
        <v>7.8988941548183256</v>
      </c>
      <c r="H15" s="23">
        <f t="shared" ref="H15:H18" si="0">G15/3600</f>
        <v>2.1941372652273129E-3</v>
      </c>
    </row>
    <row r="16" spans="2:13" x14ac:dyDescent="0.4">
      <c r="B16" s="4" t="s">
        <v>50</v>
      </c>
      <c r="C16" s="4">
        <v>0</v>
      </c>
      <c r="D16" s="22"/>
      <c r="E16" s="22"/>
      <c r="F16" s="22"/>
      <c r="G16" s="24">
        <f>(E14-C16)/G21</f>
        <v>6.3191153238546605</v>
      </c>
      <c r="H16" s="23">
        <f t="shared" si="0"/>
        <v>1.75530981218185E-3</v>
      </c>
    </row>
    <row r="17" spans="2:9" x14ac:dyDescent="0.4">
      <c r="B17" s="4" t="s">
        <v>51</v>
      </c>
      <c r="C17" s="4">
        <v>7</v>
      </c>
      <c r="D17" s="22"/>
      <c r="E17" s="22"/>
      <c r="F17" s="22"/>
      <c r="G17" s="24">
        <f>(E14-C17)/G21</f>
        <v>4.1074249605055293</v>
      </c>
      <c r="H17" s="23">
        <f t="shared" si="0"/>
        <v>1.1409513779182027E-3</v>
      </c>
    </row>
    <row r="18" spans="2:9" x14ac:dyDescent="0.4">
      <c r="B18" s="4" t="s">
        <v>52</v>
      </c>
      <c r="C18" s="4">
        <v>15</v>
      </c>
      <c r="D18" s="14"/>
      <c r="E18" s="14"/>
      <c r="F18" s="14"/>
      <c r="G18" s="24">
        <f>(E14-C18)/G21</f>
        <v>1.5797788309636651</v>
      </c>
      <c r="H18" s="23">
        <f t="shared" si="0"/>
        <v>4.3882745304546251E-4</v>
      </c>
    </row>
    <row r="21" spans="2:9" x14ac:dyDescent="0.4">
      <c r="B21" t="s">
        <v>12</v>
      </c>
      <c r="G21" s="20">
        <v>3.165</v>
      </c>
      <c r="H21" s="20" t="s">
        <v>10</v>
      </c>
      <c r="I21" s="20"/>
    </row>
  </sheetData>
  <mergeCells count="3">
    <mergeCell ref="E14:E18"/>
    <mergeCell ref="F14:F18"/>
    <mergeCell ref="D14:D1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USFA5</vt:lpstr>
      <vt:lpstr>USFA6</vt:lpstr>
      <vt:lpstr>USFA7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Filipe Sousa Moreira</dc:creator>
  <cp:lastModifiedBy>Paulo Filipe Sousa Moreira</cp:lastModifiedBy>
  <dcterms:created xsi:type="dcterms:W3CDTF">2023-12-25T22:24:14Z</dcterms:created>
  <dcterms:modified xsi:type="dcterms:W3CDTF">2024-01-03T12:57:05Z</dcterms:modified>
</cp:coreProperties>
</file>